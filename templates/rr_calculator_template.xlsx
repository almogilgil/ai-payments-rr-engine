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3" sheetId="1" r:id="rId4"/>
    <sheet state="hidden" name="Risk Calculation " sheetId="2" r:id="rId5"/>
    <sheet state="hidden" name="Draft1" sheetId="3" r:id="rId6"/>
  </sheets>
  <definedNames/>
  <calcPr/>
  <extLst>
    <ext uri="GoogleSheetsCustomDataVersion2">
      <go:sheetsCustomData xmlns:go="http://customooxmlschemas.google.com/" r:id="rId7" roundtripDataChecksum="OoyS5LvtMYC/rCiYi9USZ7GrDqdgSSvJxnG0KUCrQqk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4">
      <text>
        <t xml:space="preserve">======
ID#AAAB7LPIYk8
Luba Shissel    (2026-05-07 14:29:56)
according to segmentation</t>
      </text>
    </comment>
    <comment authorId="0" ref="F6">
      <text>
        <t xml:space="preserve">======
ID#AAABjGgQWwA
Luba Shissel    (2025-05-11 19:16:30)
not to fill chb</t>
      </text>
    </comment>
    <comment authorId="0" ref="M7">
      <text>
        <t xml:space="preserve">======
ID#AAABhbekuPg
Luba Shissel    (2025-04-02 21:51:44)
one month</t>
      </text>
    </comment>
    <comment authorId="0" ref="O7">
      <text>
        <t xml:space="preserve">======
ID#AAABhbekuPc
Luba Shissel    (2025-04-02 21:45:13)
RFU+CHBS per one month</t>
      </text>
    </comment>
    <comment authorId="0" ref="N7">
      <text>
        <t xml:space="preserve">======
ID#AAABhbekuPY
Luba Shissel    (2025-04-02 21:41:52)
extract one month</t>
      </text>
    </comment>
    <comment authorId="0" ref="P7">
      <text>
        <t xml:space="preserve">======
ID#AAABhbekuPU
Luba Shissel    (2025-04-02 21:37:54)
Formula that calculates the sum of all Exposure$ values</t>
      </text>
    </comment>
    <comment authorId="0" ref="O6">
      <text>
        <t xml:space="preserve">======
ID#AAABgh_GL4M
Luba Shissel    (2025-03-19 23:45:01)
if Highest Monthly Refund TRN Rate Last 90 Days is less then 13% then in CNL $ tab row N return 0$ if above 13% return value that multiplying column F6 to column C6</t>
      </text>
    </comment>
  </commentList>
  <extLst>
    <ext uri="GoogleSheetsCustomDataVersion2">
      <go:sheetsCustomData xmlns:go="http://customooxmlschemas.google.com/" r:id="rId1" roundtripDataSignature="AMtx7mgtFBCAafASWzCPHTNmyZEkcqid1w=="/>
    </ext>
  </extLst>
</comments>
</file>

<file path=xl/sharedStrings.xml><?xml version="1.0" encoding="utf-8"?>
<sst xmlns="http://schemas.openxmlformats.org/spreadsheetml/2006/main" count="289" uniqueCount="192">
  <si>
    <t xml:space="preserve">Merchant ID </t>
  </si>
  <si>
    <t>Segment</t>
  </si>
  <si>
    <t>RR TYPE</t>
  </si>
  <si>
    <t>Volume Last 90 Days (USD)</t>
  </si>
  <si>
    <t>Planned Settlement Days</t>
  </si>
  <si>
    <t>Highest Monthly CHB Rate Last 90 Days</t>
  </si>
  <si>
    <t>Highest Monthly Refund TRN Rate Last 90 Days</t>
  </si>
  <si>
    <t>Planned RR %</t>
  </si>
  <si>
    <t>Days</t>
  </si>
  <si>
    <t>Collected RR per month</t>
  </si>
  <si>
    <t>90 DAYS</t>
  </si>
  <si>
    <t>Average RR Collected Volume</t>
  </si>
  <si>
    <t>Estimated CHB Volume</t>
  </si>
  <si>
    <t>Highest Monthly REFUND TRN Rate Last 90 Days</t>
  </si>
  <si>
    <t>CNL $</t>
  </si>
  <si>
    <t xml:space="preserve">EXP </t>
  </si>
  <si>
    <t>Projected Volume</t>
  </si>
  <si>
    <t>62476180e9fdba00366f7f42</t>
  </si>
  <si>
    <t>SME</t>
  </si>
  <si>
    <t>10 %</t>
  </si>
  <si>
    <t xml:space="preserve"> + </t>
  </si>
  <si>
    <t>5 %</t>
  </si>
  <si>
    <t>Flat</t>
  </si>
  <si>
    <t>Including CHB Rates+Rfu</t>
  </si>
  <si>
    <t>Waiver</t>
  </si>
  <si>
    <t>-</t>
  </si>
  <si>
    <t>No CHBS ,RFU under 13 %</t>
  </si>
  <si>
    <t>Projected Exposure Volume</t>
  </si>
  <si>
    <t>One month EXP</t>
  </si>
  <si>
    <t xml:space="preserve">RR Options </t>
  </si>
  <si>
    <t xml:space="preserve">Days option </t>
  </si>
  <si>
    <t>Exposure$</t>
  </si>
  <si>
    <t>GREEN</t>
  </si>
  <si>
    <t>EXAMPLE DATA</t>
  </si>
  <si>
    <t>Orange</t>
  </si>
  <si>
    <t>FLAT $</t>
  </si>
  <si>
    <t>10K$</t>
  </si>
  <si>
    <t>RED</t>
  </si>
  <si>
    <t>Waiver$ Including CHBS+rfu</t>
  </si>
  <si>
    <r>
      <rPr>
        <rFont val="Arial"/>
        <color theme="1"/>
        <sz val="12.0"/>
      </rPr>
      <t xml:space="preserve">Waiver$ </t>
    </r>
    <r>
      <rPr>
        <rFont val="Arial"/>
        <b/>
        <color theme="1"/>
        <sz val="12.0"/>
      </rPr>
      <t xml:space="preserve">No CHBS </t>
    </r>
    <r>
      <rPr>
        <rFont val="Arial"/>
        <color theme="1"/>
        <sz val="12.0"/>
      </rPr>
      <t xml:space="preserve">,RFU under </t>
    </r>
    <r>
      <rPr>
        <rFont val="Arial"/>
        <b/>
        <color theme="1"/>
        <sz val="13.0"/>
      </rPr>
      <t>13 %</t>
    </r>
  </si>
  <si>
    <t>Projected Exposure from Prsossesing Volume</t>
  </si>
  <si>
    <t>Recommended</t>
  </si>
  <si>
    <t xml:space="preserve">Month </t>
  </si>
  <si>
    <t>Dec</t>
  </si>
  <si>
    <t>Jan</t>
  </si>
  <si>
    <t>Feb</t>
  </si>
  <si>
    <t>Sales Volume $</t>
  </si>
  <si>
    <t>Chargeback Volume $</t>
  </si>
  <si>
    <t>Chargeback Rate % $</t>
  </si>
  <si>
    <t>Refund %$</t>
  </si>
  <si>
    <t xml:space="preserve">Refund volume $ </t>
  </si>
  <si>
    <t>90 days</t>
  </si>
  <si>
    <t>Sales Count #</t>
  </si>
  <si>
    <t>Chargeback Count #</t>
  </si>
  <si>
    <t>Chargeback Rate % #</t>
  </si>
  <si>
    <t>Segment by prossesing volume</t>
  </si>
  <si>
    <t xml:space="preserve"> RR $ </t>
  </si>
  <si>
    <t>FLAT RR TYPES</t>
  </si>
  <si>
    <t>75 - 100K USD</t>
  </si>
  <si>
    <t>10 K USD</t>
  </si>
  <si>
    <t>100 - 500K USD</t>
  </si>
  <si>
    <t>30 K USD</t>
  </si>
  <si>
    <t>500K - 1 M USD</t>
  </si>
  <si>
    <t>60 K USD</t>
  </si>
  <si>
    <t>1 - 2 M USD</t>
  </si>
  <si>
    <t>100 K USD</t>
  </si>
  <si>
    <t>Sep 2025</t>
  </si>
  <si>
    <t>Oct 2025</t>
  </si>
  <si>
    <t>Nov 2025</t>
  </si>
  <si>
    <t>Dec 2025</t>
  </si>
  <si>
    <t>Jan 2026</t>
  </si>
  <si>
    <t>Feb 2026</t>
  </si>
  <si>
    <t>Merchant ID</t>
  </si>
  <si>
    <t>Mid-Market</t>
  </si>
  <si>
    <t>5f7cf9b211274a002905c818</t>
  </si>
  <si>
    <t>30K$</t>
  </si>
  <si>
    <t>Waiver$</t>
  </si>
  <si>
    <t>Month</t>
  </si>
  <si>
    <t>SUM of Amount</t>
  </si>
  <si>
    <t>Grand Total</t>
  </si>
  <si>
    <t>NOV</t>
  </si>
  <si>
    <t>DEC</t>
  </si>
  <si>
    <t>JAN</t>
  </si>
  <si>
    <t>FEB</t>
  </si>
  <si>
    <t>Created date (UTC)</t>
  </si>
  <si>
    <t>Amount</t>
  </si>
  <si>
    <t>180 days</t>
  </si>
  <si>
    <t>id</t>
  </si>
  <si>
    <t>Amount Refunded</t>
  </si>
  <si>
    <t>Currency</t>
  </si>
  <si>
    <t>Captured</t>
  </si>
  <si>
    <t>Converted Amount</t>
  </si>
  <si>
    <t>Converted Amount Refunded</t>
  </si>
  <si>
    <t>Converted Currency</t>
  </si>
  <si>
    <t>Decline Reason</t>
  </si>
  <si>
    <t>Description</t>
  </si>
  <si>
    <t>Fee</t>
  </si>
  <si>
    <t>Refunded date (UTC)</t>
  </si>
  <si>
    <t>Statement Descriptor</t>
  </si>
  <si>
    <t>Status</t>
  </si>
  <si>
    <t>Seller Message</t>
  </si>
  <si>
    <t>Taxes On Fee</t>
  </si>
  <si>
    <t>Card ID</t>
  </si>
  <si>
    <t>Customer ID</t>
  </si>
  <si>
    <t>Customer Description</t>
  </si>
  <si>
    <t>Customer Email</t>
  </si>
  <si>
    <t>Invoice ID</t>
  </si>
  <si>
    <t>Transfer</t>
  </si>
  <si>
    <t>accountId (metadata)</t>
  </si>
  <si>
    <t>confirmationCode (metadata)</t>
  </si>
  <si>
    <t>reservationId (metadata)</t>
  </si>
  <si>
    <t>OTA (metadata)</t>
  </si>
  <si>
    <t>listingId (metadata)</t>
  </si>
  <si>
    <t>guestName (metadata)</t>
  </si>
  <si>
    <t>paymentId (metadata)</t>
  </si>
  <si>
    <t>paymentMethodId (metadata)</t>
  </si>
  <si>
    <t>ch_3QeYpDHoj10Xyk650umwc0py</t>
  </si>
  <si>
    <t>usd</t>
  </si>
  <si>
    <t>EXP-g76mJzv6</t>
  </si>
  <si>
    <t>Vistas Vacatio booking</t>
  </si>
  <si>
    <t>Paid</t>
  </si>
  <si>
    <t>Payment complete.</t>
  </si>
  <si>
    <t>pm_1QYz7cHoj10Xyk65ZSAViyh1</t>
  </si>
  <si>
    <t>cus_RRstKsuLs2rcW4</t>
  </si>
  <si>
    <r>
      <rPr>
        <rFont val="&quot;Helvetica Neue&quot;"/>
        <color rgb="FF1155CC"/>
        <sz val="8.0"/>
        <u/>
      </rPr>
      <t>ysmd4otb05@m.expediapartnercentral.com</t>
    </r>
  </si>
  <si>
    <t>po_1QenovHoj10Xyk650mDjOg4P</t>
  </si>
  <si>
    <t>6768a8e2d7891600122db93c</t>
  </si>
  <si>
    <t>Expedia</t>
  </si>
  <si>
    <t>62b7a56772b59a00348490df</t>
  </si>
  <si>
    <t>Esther Joo</t>
  </si>
  <si>
    <t>6768a8e3d7891600122db95b</t>
  </si>
  <si>
    <t>6768a8e25b48f98ca4cf733f</t>
  </si>
  <si>
    <t>ch_3Qaw3XHoj10Xyk650glOBJCg</t>
  </si>
  <si>
    <t>EXP-M6WoEoW5</t>
  </si>
  <si>
    <t>pm_1QTxacHoj10Xyk65RaGoRzeN</t>
  </si>
  <si>
    <t>cus_RMgyongx2lGGx2</t>
  </si>
  <si>
    <r>
      <rPr>
        <rFont val="&quot;Helvetica Neue&quot;"/>
        <color rgb="FF1155CC"/>
        <sz val="8.0"/>
        <u/>
      </rPr>
      <t>bnm8yolv1s@m.expediapartnercentral.com</t>
    </r>
  </si>
  <si>
    <t>po_1QcGovHoj10Xyk65fsIComh7</t>
  </si>
  <si>
    <t>675663079730a6001207a149</t>
  </si>
  <si>
    <t>Expedia Affiliate Network</t>
  </si>
  <si>
    <t>ANURAG SHARMA</t>
  </si>
  <si>
    <t>675663079730a6001207a16b</t>
  </si>
  <si>
    <t>67566307b16e1bb34e9cfcf8</t>
  </si>
  <si>
    <t>ch_3P8ToJHoj10Xyk651dUGD9rk</t>
  </si>
  <si>
    <t>EXP-Mw1o99yn</t>
  </si>
  <si>
    <t>Vistas Vacations Maui</t>
  </si>
  <si>
    <t>pm_1P8ToIHoj10Xyk65hba3RSsA</t>
  </si>
  <si>
    <t>po_1P8YyVHoj10Xyk65RfseFSOC</t>
  </si>
  <si>
    <t>ch_3OV5kLHoj10Xyk651hr2aQ6T</t>
  </si>
  <si>
    <t>BC-Nk5EwDL78</t>
  </si>
  <si>
    <t>pm_1OV5LGHoj10Xyk65i3mIRYDW</t>
  </si>
  <si>
    <t>cus_PJim8CZF8UjQYl</t>
  </si>
  <si>
    <r>
      <rPr>
        <rFont val="&quot;Helvetica Neue&quot;"/>
        <color rgb="FF1155CC"/>
        <sz val="8.0"/>
        <u/>
      </rPr>
      <t>ttaylo.609994@guest.booking.com</t>
    </r>
  </si>
  <si>
    <t>po_1OW8aDHoj10Xyk65gm4KCPA9</t>
  </si>
  <si>
    <t>65978a4a1f7d0c0011409a7f</t>
  </si>
  <si>
    <r>
      <rPr>
        <rFont val="&quot;Helvetica Neue&quot;"/>
        <color rgb="FF1155CC"/>
        <sz val="8.0"/>
        <u/>
      </rPr>
      <t>Booking.com</t>
    </r>
  </si>
  <si>
    <t>6565090e49cf110031cb6b44</t>
  </si>
  <si>
    <t>Tyra Taylor</t>
  </si>
  <si>
    <t>65978a4a1f7d0c0011409a8e</t>
  </si>
  <si>
    <t>65978a4ab6615979ebf8bf72</t>
  </si>
  <si>
    <t>ch_3MXVttHoj10Xyk651XOIVqTN</t>
  </si>
  <si>
    <t>BC-9VoA9kAZ</t>
  </si>
  <si>
    <t>pm_1MXVkIHoj10Xyk65zRx0Mw3r</t>
  </si>
  <si>
    <t>cus_NI5wyZQxLQTVY7</t>
  </si>
  <si>
    <r>
      <rPr>
        <rFont val="&quot;Helvetica Neue&quot;"/>
        <color rgb="FF1155CC"/>
        <sz val="8.0"/>
        <u/>
      </rPr>
      <t>jmyers.748862@guest.booking.com</t>
    </r>
  </si>
  <si>
    <t>po_1MYN0zHoj10Xyk65X9V0SeGu</t>
  </si>
  <si>
    <t>63dd6c9118c7ed002e77b2b4</t>
  </si>
  <si>
    <r>
      <rPr>
        <rFont val="&quot;Helvetica Neue&quot;"/>
        <color rgb="FF1155CC"/>
        <sz val="8.0"/>
        <u/>
      </rPr>
      <t>Booking.com</t>
    </r>
  </si>
  <si>
    <t>60caa889907f58002e81b516</t>
  </si>
  <si>
    <t>Josh Myers</t>
  </si>
  <si>
    <t>ch_3MEiicHoj10Xyk6505V0K9om</t>
  </si>
  <si>
    <t>BC-9k2g3D03</t>
  </si>
  <si>
    <t>pm_1M9GD3Hoj10Xyk654DPYPxb3</t>
  </si>
  <si>
    <t>cus_Mt2HUm4On9HoLX</t>
  </si>
  <si>
    <r>
      <rPr>
        <rFont val="&quot;Helvetica Neue&quot;"/>
        <color rgb="FF1155CC"/>
        <sz val="8.0"/>
        <u/>
      </rPr>
      <t>dthomp.292410@guest.booking.com</t>
    </r>
  </si>
  <si>
    <t>po_1MF81jHoj10Xyk657AUhN3zb</t>
  </si>
  <si>
    <t>63853c0bfe4dd300412dee7d</t>
  </si>
  <si>
    <r>
      <rPr>
        <rFont val="&quot;Helvetica Neue&quot;"/>
        <color rgb="FF1155CC"/>
        <sz val="8.0"/>
        <u/>
      </rPr>
      <t>Booking.com</t>
    </r>
  </si>
  <si>
    <t>5f85f48e92b0000028c8f95b</t>
  </si>
  <si>
    <t>DAWN THOMPSON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</si>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</sst>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&quot;$&quot;#,##0.00"/>
    <numFmt numFmtId="165" formatCode="[$$]#,##0"/>
    <numFmt numFmtId="166" formatCode="&quot;$&quot;#,##0"/>
    <numFmt numFmtId="167" formatCode="#,##0&quot;$&quot;"/>
    <numFmt numFmtId="168" formatCode="yyyy\-mm\-dd\ h:mm:ss"/>
  </numFmts>
  <fonts count="25">
    <font>
      <sz val="10.0"/>
      <color rgb="FF000000"/>
      <name val="Arial"/>
      <scheme val="minor"/>
    </font>
    <font>
      <b/>
      <sz val="11.0"/>
      <color theme="1"/>
      <name val="Arial"/>
    </font>
    <font/>
    <font>
      <b/>
      <sz val="10.0"/>
      <color rgb="FFFFFFFF"/>
      <name val="Arial"/>
    </font>
    <font>
      <sz val="10.0"/>
      <color theme="1"/>
      <name val="Arial"/>
    </font>
    <font>
      <sz val="11.0"/>
      <color theme="1"/>
      <name val="Arial"/>
    </font>
    <font>
      <sz val="11.0"/>
      <color rgb="FF222222"/>
      <name val="Arial"/>
    </font>
    <font>
      <sz val="11.0"/>
      <color rgb="FFFF0000"/>
      <name val="Arial"/>
    </font>
    <font>
      <sz val="10.0"/>
      <color rgb="FFFFFFFF"/>
      <name val="Arial"/>
    </font>
    <font>
      <sz val="11.0"/>
      <color rgb="FFFFFFFF"/>
      <name val="Arial"/>
    </font>
    <font>
      <sz val="12.0"/>
      <color theme="1"/>
      <name val="Arial"/>
    </font>
    <font>
      <b/>
      <sz val="11.0"/>
      <color rgb="FF38761D"/>
      <name val="Arial"/>
    </font>
    <font>
      <i/>
      <sz val="10.0"/>
      <color theme="1"/>
      <name val="Arial"/>
    </font>
    <font>
      <b/>
      <sz val="11.0"/>
      <color rgb="FFFF8F00"/>
      <name val="Arial"/>
    </font>
    <font>
      <b/>
      <sz val="11.0"/>
      <color rgb="FFFF0000"/>
      <name val="Arial"/>
    </font>
    <font>
      <b/>
      <sz val="11.0"/>
      <color rgb="FF3C78D8"/>
      <name val="Arial"/>
    </font>
    <font>
      <color theme="1"/>
      <name val="Arial"/>
    </font>
    <font>
      <b/>
      <sz val="11.0"/>
      <color rgb="FFEA9999"/>
      <name val="Arial"/>
    </font>
    <font>
      <b/>
      <sz val="11.0"/>
      <color rgb="FF222222"/>
      <name val="Arial"/>
    </font>
    <font>
      <color rgb="FFFF0000"/>
      <name val="Arial"/>
    </font>
    <font>
      <sz val="11.0"/>
      <color theme="1"/>
      <name val="Montserrat"/>
    </font>
    <font>
      <sz val="10.0"/>
      <color rgb="FFCC0000"/>
      <name val="Arial"/>
    </font>
    <font>
      <b/>
      <sz val="8.0"/>
      <color rgb="FF000000"/>
      <name val="Helvetica Neue"/>
    </font>
    <font>
      <sz val="8.0"/>
      <color rgb="FF000000"/>
      <name val="Helvetica Neue"/>
    </font>
    <font>
      <u/>
      <sz val="8.0"/>
      <color rgb="FF0000FF"/>
      <name val="Helvetica Neue"/>
    </font>
  </fonts>
  <fills count="1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999999"/>
        <bgColor rgb="FF999999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CCCCCC"/>
        <bgColor rgb="FFCCCCCC"/>
      </patternFill>
    </fill>
    <fill>
      <patternFill patternType="solid">
        <fgColor rgb="FF1155CC"/>
        <bgColor rgb="FF1155CC"/>
      </patternFill>
    </fill>
    <fill>
      <patternFill patternType="solid">
        <fgColor rgb="FF38761D"/>
        <bgColor rgb="FF38761D"/>
      </patternFill>
    </fill>
    <fill>
      <patternFill patternType="solid">
        <fgColor rgb="FFFF9900"/>
        <bgColor rgb="FFFF9900"/>
      </patternFill>
    </fill>
    <fill>
      <patternFill patternType="solid">
        <fgColor rgb="FFD5A6BD"/>
        <bgColor rgb="FFD5A6BD"/>
      </patternFill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</fills>
  <borders count="2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/>
      <right style="dotted">
        <color rgb="FF000000"/>
      </right>
      <top style="dotted">
        <color rgb="FF000000"/>
      </top>
      <bottom style="dotted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dotted">
        <color rgb="FF000000"/>
      </right>
      <top style="dotted">
        <color rgb="FF000000"/>
      </top>
      <bottom/>
    </border>
    <border>
      <left style="dotted">
        <color rgb="FF000000"/>
      </left>
      <right style="dotted">
        <color rgb="FF000000"/>
      </right>
      <top style="dotted">
        <color rgb="FF000000"/>
      </top>
      <bottom/>
    </border>
    <border>
      <left/>
      <right style="double">
        <color rgb="FF000000"/>
      </right>
      <top style="double">
        <color rgb="FF000000"/>
      </top>
      <bottom style="double">
        <color rgb="FF000000"/>
      </bottom>
    </border>
    <border>
      <left/>
      <top style="dotted">
        <color rgb="FF000000"/>
      </top>
      <bottom style="dotted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</border>
    <border>
      <left style="double">
        <color rgb="FF000000"/>
      </left>
      <top style="double">
        <color rgb="FF000000"/>
      </top>
      <bottom style="double">
        <color rgb="FF000000"/>
      </bottom>
    </border>
    <border>
      <left style="double">
        <color rgb="FF000000"/>
      </left>
      <top style="double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1" fillId="0" fontId="1" numFmtId="0" xfId="0" applyAlignment="1" applyBorder="1" applyFont="1">
      <alignment horizontal="left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shrinkToFit="0" wrapText="1"/>
    </xf>
    <xf borderId="1" fillId="2" fontId="1" numFmtId="0" xfId="0" applyAlignment="1" applyBorder="1" applyFill="1" applyFont="1">
      <alignment horizontal="center" shrinkToFit="0" wrapText="1"/>
    </xf>
    <xf borderId="1" fillId="2" fontId="1" numFmtId="0" xfId="0" applyAlignment="1" applyBorder="1" applyFont="1">
      <alignment horizontal="center"/>
    </xf>
    <xf borderId="2" fillId="2" fontId="1" numFmtId="0" xfId="0" applyAlignment="1" applyBorder="1" applyFont="1">
      <alignment horizontal="center"/>
    </xf>
    <xf borderId="3" fillId="0" fontId="1" numFmtId="0" xfId="0" applyAlignment="1" applyBorder="1" applyFont="1">
      <alignment horizontal="center" shrinkToFit="0" wrapText="1"/>
    </xf>
    <xf borderId="3" fillId="0" fontId="1" numFmtId="0" xfId="0" applyAlignment="1" applyBorder="1" applyFont="1">
      <alignment horizontal="center"/>
    </xf>
    <xf borderId="4" fillId="0" fontId="1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shrinkToFit="0" wrapText="1"/>
    </xf>
    <xf borderId="5" fillId="0" fontId="1" numFmtId="0" xfId="0" applyAlignment="1" applyBorder="1" applyFont="1">
      <alignment horizontal="center"/>
    </xf>
    <xf borderId="6" fillId="0" fontId="2" numFmtId="0" xfId="0" applyBorder="1" applyFont="1"/>
    <xf borderId="7" fillId="3" fontId="3" numFmtId="0" xfId="0" applyAlignment="1" applyBorder="1" applyFill="1" applyFont="1">
      <alignment horizontal="center"/>
    </xf>
    <xf borderId="0" fillId="0" fontId="4" numFmtId="0" xfId="0" applyFont="1"/>
    <xf borderId="1" fillId="0" fontId="5" numFmtId="0" xfId="0" applyBorder="1" applyFont="1"/>
    <xf borderId="8" fillId="0" fontId="1" numFmtId="0" xfId="0" applyAlignment="1" applyBorder="1" applyFont="1">
      <alignment horizontal="center"/>
    </xf>
    <xf borderId="8" fillId="4" fontId="5" numFmtId="0" xfId="0" applyAlignment="1" applyBorder="1" applyFill="1" applyFont="1">
      <alignment horizontal="center"/>
    </xf>
    <xf borderId="6" fillId="0" fontId="5" numFmtId="164" xfId="0" applyAlignment="1" applyBorder="1" applyFont="1" applyNumberFormat="1">
      <alignment horizontal="right"/>
    </xf>
    <xf borderId="1" fillId="5" fontId="5" numFmtId="0" xfId="0" applyAlignment="1" applyBorder="1" applyFill="1" applyFont="1">
      <alignment horizontal="center"/>
    </xf>
    <xf borderId="9" fillId="6" fontId="6" numFmtId="10" xfId="0" applyAlignment="1" applyBorder="1" applyFill="1" applyFont="1" applyNumberFormat="1">
      <alignment horizontal="center"/>
    </xf>
    <xf borderId="1" fillId="0" fontId="5" numFmtId="10" xfId="0" applyAlignment="1" applyBorder="1" applyFont="1" applyNumberFormat="1">
      <alignment horizontal="center"/>
    </xf>
    <xf borderId="1" fillId="5" fontId="5" numFmtId="3" xfId="0" applyAlignment="1" applyBorder="1" applyFont="1" applyNumberFormat="1">
      <alignment horizontal="center"/>
    </xf>
    <xf borderId="1" fillId="0" fontId="5" numFmtId="165" xfId="0" applyAlignment="1" applyBorder="1" applyFont="1" applyNumberFormat="1">
      <alignment horizontal="center"/>
    </xf>
    <xf borderId="1" fillId="7" fontId="5" numFmtId="164" xfId="0" applyAlignment="1" applyBorder="1" applyFill="1" applyFont="1" applyNumberFormat="1">
      <alignment horizontal="center"/>
    </xf>
    <xf borderId="1" fillId="0" fontId="7" numFmtId="165" xfId="0" applyAlignment="1" applyBorder="1" applyFont="1" applyNumberFormat="1">
      <alignment horizontal="center"/>
    </xf>
    <xf borderId="1" fillId="0" fontId="5" numFmtId="0" xfId="0" applyAlignment="1" applyBorder="1" applyFont="1">
      <alignment horizontal="center"/>
    </xf>
    <xf borderId="1" fillId="0" fontId="4" numFmtId="0" xfId="0" applyBorder="1" applyFont="1"/>
    <xf borderId="10" fillId="0" fontId="4" numFmtId="0" xfId="0" applyBorder="1" applyFont="1"/>
    <xf borderId="11" fillId="8" fontId="4" numFmtId="0" xfId="0" applyAlignment="1" applyBorder="1" applyFill="1" applyFont="1">
      <alignment horizontal="center"/>
    </xf>
    <xf borderId="1" fillId="2" fontId="5" numFmtId="3" xfId="0" applyAlignment="1" applyBorder="1" applyFont="1" applyNumberFormat="1">
      <alignment horizontal="center"/>
    </xf>
    <xf borderId="1" fillId="7" fontId="5" numFmtId="166" xfId="0" applyAlignment="1" applyBorder="1" applyFont="1" applyNumberFormat="1">
      <alignment horizontal="center"/>
    </xf>
    <xf borderId="12" fillId="9" fontId="8" numFmtId="0" xfId="0" applyBorder="1" applyFill="1" applyFont="1"/>
    <xf borderId="11" fillId="8" fontId="8" numFmtId="0" xfId="0" applyAlignment="1" applyBorder="1" applyFont="1">
      <alignment horizontal="center"/>
    </xf>
    <xf borderId="13" fillId="9" fontId="9" numFmtId="164" xfId="0" applyAlignment="1" applyBorder="1" applyFont="1" applyNumberFormat="1">
      <alignment horizontal="right"/>
    </xf>
    <xf borderId="1" fillId="9" fontId="9" numFmtId="0" xfId="0" applyAlignment="1" applyBorder="1" applyFont="1">
      <alignment horizontal="center"/>
    </xf>
    <xf borderId="9" fillId="9" fontId="9" numFmtId="10" xfId="0" applyAlignment="1" applyBorder="1" applyFont="1" applyNumberFormat="1">
      <alignment horizontal="center"/>
    </xf>
    <xf borderId="1" fillId="9" fontId="9" numFmtId="10" xfId="0" applyAlignment="1" applyBorder="1" applyFont="1" applyNumberFormat="1">
      <alignment horizontal="center"/>
    </xf>
    <xf borderId="1" fillId="9" fontId="9" numFmtId="3" xfId="0" applyAlignment="1" applyBorder="1" applyFont="1" applyNumberFormat="1">
      <alignment horizontal="center"/>
    </xf>
    <xf borderId="1" fillId="9" fontId="9" numFmtId="165" xfId="0" applyAlignment="1" applyBorder="1" applyFont="1" applyNumberFormat="1">
      <alignment horizontal="center"/>
    </xf>
    <xf borderId="1" fillId="9" fontId="9" numFmtId="164" xfId="0" applyAlignment="1" applyBorder="1" applyFont="1" applyNumberFormat="1">
      <alignment horizontal="center"/>
    </xf>
    <xf borderId="7" fillId="9" fontId="8" numFmtId="0" xfId="0" applyBorder="1" applyFont="1"/>
    <xf borderId="14" fillId="10" fontId="8" numFmtId="0" xfId="0" applyBorder="1" applyFill="1" applyFont="1"/>
    <xf borderId="15" fillId="10" fontId="8" numFmtId="0" xfId="0" applyAlignment="1" applyBorder="1" applyFont="1">
      <alignment horizontal="center"/>
    </xf>
    <xf borderId="13" fillId="10" fontId="9" numFmtId="164" xfId="0" applyAlignment="1" applyBorder="1" applyFont="1" applyNumberFormat="1">
      <alignment horizontal="right"/>
    </xf>
    <xf borderId="1" fillId="10" fontId="9" numFmtId="0" xfId="0" applyAlignment="1" applyBorder="1" applyFont="1">
      <alignment horizontal="center"/>
    </xf>
    <xf borderId="9" fillId="10" fontId="9" numFmtId="10" xfId="0" applyAlignment="1" applyBorder="1" applyFont="1" applyNumberFormat="1">
      <alignment horizontal="center"/>
    </xf>
    <xf borderId="1" fillId="10" fontId="9" numFmtId="3" xfId="0" applyAlignment="1" applyBorder="1" applyFont="1" applyNumberFormat="1">
      <alignment horizontal="center"/>
    </xf>
    <xf borderId="1" fillId="10" fontId="9" numFmtId="165" xfId="0" applyAlignment="1" applyBorder="1" applyFont="1" applyNumberFormat="1">
      <alignment horizontal="center"/>
    </xf>
    <xf borderId="1" fillId="10" fontId="9" numFmtId="164" xfId="0" applyAlignment="1" applyBorder="1" applyFont="1" applyNumberFormat="1">
      <alignment horizontal="center"/>
    </xf>
    <xf borderId="7" fillId="10" fontId="8" numFmtId="0" xfId="0" applyBorder="1" applyFont="1"/>
    <xf borderId="1" fillId="3" fontId="8" numFmtId="0" xfId="0" applyBorder="1" applyFont="1"/>
    <xf borderId="1" fillId="3" fontId="4" numFmtId="0" xfId="0" applyBorder="1" applyFont="1"/>
    <xf borderId="1" fillId="3" fontId="9" numFmtId="164" xfId="0" applyAlignment="1" applyBorder="1" applyFont="1" applyNumberFormat="1">
      <alignment horizontal="right"/>
    </xf>
    <xf borderId="16" fillId="3" fontId="9" numFmtId="10" xfId="0" applyAlignment="1" applyBorder="1" applyFont="1" applyNumberFormat="1">
      <alignment horizontal="center"/>
    </xf>
    <xf borderId="9" fillId="3" fontId="9" numFmtId="10" xfId="0" applyAlignment="1" applyBorder="1" applyFont="1" applyNumberFormat="1">
      <alignment horizontal="center"/>
    </xf>
    <xf borderId="13" fillId="3" fontId="4" numFmtId="0" xfId="0" applyBorder="1" applyFont="1"/>
    <xf borderId="1" fillId="3" fontId="9" numFmtId="0" xfId="0" applyAlignment="1" applyBorder="1" applyFont="1">
      <alignment horizontal="center"/>
    </xf>
    <xf borderId="1" fillId="3" fontId="4" numFmtId="0" xfId="0" applyAlignment="1" applyBorder="1" applyFont="1">
      <alignment horizontal="center"/>
    </xf>
    <xf borderId="1" fillId="3" fontId="9" numFmtId="165" xfId="0" applyAlignment="1" applyBorder="1" applyFont="1" applyNumberFormat="1">
      <alignment horizontal="center"/>
    </xf>
    <xf borderId="7" fillId="3" fontId="4" numFmtId="0" xfId="0" applyBorder="1" applyFont="1"/>
    <xf borderId="0" fillId="0" fontId="4" numFmtId="0" xfId="0" applyAlignment="1" applyFont="1">
      <alignment horizontal="center"/>
    </xf>
    <xf borderId="11" fillId="0" fontId="4" numFmtId="0" xfId="0" applyAlignment="1" applyBorder="1" applyFont="1">
      <alignment horizontal="center"/>
    </xf>
    <xf borderId="0" fillId="0" fontId="5" numFmtId="0" xfId="0" applyFont="1"/>
    <xf borderId="9" fillId="0" fontId="10" numFmtId="0" xfId="0" applyAlignment="1" applyBorder="1" applyFont="1">
      <alignment horizontal="center" shrinkToFit="0" wrapText="1"/>
    </xf>
    <xf borderId="10" fillId="0" fontId="4" numFmtId="0" xfId="0" applyAlignment="1" applyBorder="1" applyFont="1">
      <alignment horizontal="center"/>
    </xf>
    <xf borderId="5" fillId="0" fontId="11" numFmtId="0" xfId="0" applyBorder="1" applyFont="1"/>
    <xf borderId="9" fillId="0" fontId="10" numFmtId="9" xfId="0" applyAlignment="1" applyBorder="1" applyFont="1" applyNumberFormat="1">
      <alignment horizontal="center"/>
    </xf>
    <xf borderId="9" fillId="0" fontId="10" numFmtId="0" xfId="0" applyAlignment="1" applyBorder="1" applyFont="1">
      <alignment horizontal="center"/>
    </xf>
    <xf borderId="9" fillId="0" fontId="5" numFmtId="165" xfId="0" applyAlignment="1" applyBorder="1" applyFont="1" applyNumberFormat="1">
      <alignment horizontal="center"/>
    </xf>
    <xf borderId="10" fillId="0" fontId="4" numFmtId="164" xfId="0" applyAlignment="1" applyBorder="1" applyFont="1" applyNumberFormat="1">
      <alignment horizontal="center"/>
    </xf>
    <xf borderId="0" fillId="0" fontId="4" numFmtId="165" xfId="0" applyFont="1" applyNumberFormat="1"/>
    <xf borderId="0" fillId="0" fontId="4" numFmtId="164" xfId="0" applyFont="1" applyNumberFormat="1"/>
    <xf borderId="0" fillId="0" fontId="12" numFmtId="0" xfId="0" applyAlignment="1" applyFont="1">
      <alignment horizontal="center"/>
    </xf>
    <xf borderId="5" fillId="0" fontId="13" numFmtId="0" xfId="0" applyBorder="1" applyFont="1"/>
    <xf borderId="9" fillId="0" fontId="5" numFmtId="0" xfId="0" applyAlignment="1" applyBorder="1" applyFont="1">
      <alignment horizontal="center"/>
    </xf>
    <xf borderId="9" fillId="0" fontId="5" numFmtId="167" xfId="0" applyAlignment="1" applyBorder="1" applyFont="1" applyNumberFormat="1">
      <alignment horizontal="center"/>
    </xf>
    <xf borderId="9" fillId="0" fontId="5" numFmtId="166" xfId="0" applyAlignment="1" applyBorder="1" applyFont="1" applyNumberFormat="1">
      <alignment horizontal="center"/>
    </xf>
    <xf borderId="5" fillId="0" fontId="14" numFmtId="0" xfId="0" applyBorder="1" applyFont="1"/>
    <xf borderId="17" fillId="3" fontId="8" numFmtId="0" xfId="0" applyAlignment="1" applyBorder="1" applyFont="1">
      <alignment shrinkToFit="0" wrapText="1"/>
    </xf>
    <xf borderId="9" fillId="0" fontId="4" numFmtId="0" xfId="0" applyAlignment="1" applyBorder="1" applyFont="1">
      <alignment horizontal="center"/>
    </xf>
    <xf borderId="5" fillId="0" fontId="15" numFmtId="0" xfId="0" applyBorder="1" applyFont="1"/>
    <xf borderId="10" fillId="0" fontId="16" numFmtId="0" xfId="0" applyBorder="1" applyFont="1"/>
    <xf borderId="7" fillId="0" fontId="6" numFmtId="0" xfId="0" applyBorder="1" applyFont="1"/>
    <xf borderId="9" fillId="0" fontId="6" numFmtId="0" xfId="0" applyBorder="1" applyFont="1"/>
    <xf borderId="18" fillId="0" fontId="6" numFmtId="0" xfId="0" applyAlignment="1" applyBorder="1" applyFont="1">
      <alignment horizontal="center"/>
    </xf>
    <xf borderId="19" fillId="0" fontId="6" numFmtId="0" xfId="0" applyBorder="1" applyFont="1"/>
    <xf borderId="9" fillId="0" fontId="6" numFmtId="164" xfId="0" applyAlignment="1" applyBorder="1" applyFont="1" applyNumberFormat="1">
      <alignment horizontal="center"/>
    </xf>
    <xf borderId="9" fillId="0" fontId="6" numFmtId="0" xfId="0" applyAlignment="1" applyBorder="1" applyFont="1">
      <alignment horizontal="center"/>
    </xf>
    <xf borderId="0" fillId="0" fontId="1" numFmtId="0" xfId="0" applyFont="1"/>
    <xf borderId="9" fillId="0" fontId="17" numFmtId="10" xfId="0" applyAlignment="1" applyBorder="1" applyFont="1" applyNumberFormat="1">
      <alignment horizontal="center"/>
    </xf>
    <xf borderId="9" fillId="0" fontId="6" numFmtId="10" xfId="0" applyAlignment="1" applyBorder="1" applyFont="1" applyNumberFormat="1">
      <alignment horizontal="center"/>
    </xf>
    <xf borderId="20" fillId="0" fontId="6" numFmtId="0" xfId="0" applyBorder="1" applyFont="1"/>
    <xf borderId="9" fillId="0" fontId="18" numFmtId="10" xfId="0" applyAlignment="1" applyBorder="1" applyFont="1" applyNumberFormat="1">
      <alignment horizontal="center"/>
    </xf>
    <xf borderId="5" fillId="0" fontId="5" numFmtId="0" xfId="0" applyBorder="1" applyFont="1"/>
    <xf borderId="9" fillId="0" fontId="16" numFmtId="164" xfId="0" applyAlignment="1" applyBorder="1" applyFont="1" applyNumberFormat="1">
      <alignment horizontal="center"/>
    </xf>
    <xf borderId="9" fillId="0" fontId="16" numFmtId="0" xfId="0" applyBorder="1" applyFont="1"/>
    <xf borderId="7" fillId="6" fontId="6" numFmtId="0" xfId="0" applyBorder="1" applyFont="1"/>
    <xf borderId="9" fillId="6" fontId="6" numFmtId="0" xfId="0" applyBorder="1" applyFont="1"/>
    <xf borderId="9" fillId="6" fontId="6" numFmtId="0" xfId="0" applyAlignment="1" applyBorder="1" applyFont="1">
      <alignment horizontal="center"/>
    </xf>
    <xf borderId="0" fillId="0" fontId="16" numFmtId="0" xfId="0" applyFont="1"/>
    <xf borderId="0" fillId="0" fontId="19" numFmtId="164" xfId="0" applyFont="1" applyNumberFormat="1"/>
    <xf borderId="1" fillId="0" fontId="4" numFmtId="0" xfId="0" applyAlignment="1" applyBorder="1" applyFont="1">
      <alignment horizontal="center"/>
    </xf>
    <xf borderId="0" fillId="0" fontId="16" numFmtId="164" xfId="0" applyFont="1" applyNumberFormat="1"/>
    <xf borderId="8" fillId="0" fontId="4" numFmtId="0" xfId="0" applyAlignment="1" applyBorder="1" applyFont="1">
      <alignment horizontal="center" shrinkToFit="0" vertical="center" wrapText="1"/>
    </xf>
    <xf borderId="1" fillId="0" fontId="20" numFmtId="0" xfId="0" applyAlignment="1" applyBorder="1" applyFont="1">
      <alignment horizontal="center" shrinkToFit="0" wrapText="1"/>
    </xf>
    <xf borderId="21" fillId="0" fontId="2" numFmtId="0" xfId="0" applyBorder="1" applyFont="1"/>
    <xf borderId="22" fillId="0" fontId="2" numFmtId="0" xfId="0" applyBorder="1" applyFont="1"/>
    <xf borderId="0" fillId="0" fontId="16" numFmtId="0" xfId="0" applyAlignment="1" applyFont="1">
      <alignment vertical="bottom"/>
    </xf>
    <xf borderId="0" fillId="0" fontId="16" numFmtId="164" xfId="0" applyAlignment="1" applyFont="1" applyNumberFormat="1">
      <alignment vertical="bottom"/>
    </xf>
    <xf borderId="0" fillId="0" fontId="16" numFmtId="164" xfId="0" applyAlignment="1" applyFont="1" applyNumberFormat="1">
      <alignment horizontal="right" vertical="bottom"/>
    </xf>
    <xf quotePrefix="1" borderId="0" fillId="0" fontId="16" numFmtId="0" xfId="0" applyAlignment="1" applyFont="1">
      <alignment vertical="bottom"/>
    </xf>
    <xf borderId="0" fillId="0" fontId="16" numFmtId="10" xfId="0" applyAlignment="1" applyFont="1" applyNumberFormat="1">
      <alignment horizontal="right" vertical="bottom"/>
    </xf>
    <xf borderId="1" fillId="0" fontId="1" numFmtId="0" xfId="0" applyBorder="1" applyFont="1"/>
    <xf borderId="8" fillId="0" fontId="5" numFmtId="0" xfId="0" applyBorder="1" applyFont="1"/>
    <xf borderId="1" fillId="0" fontId="5" numFmtId="164" xfId="0" applyAlignment="1" applyBorder="1" applyFont="1" applyNumberFormat="1">
      <alignment horizontal="right"/>
    </xf>
    <xf borderId="11" fillId="0" fontId="4" numFmtId="0" xfId="0" applyBorder="1" applyFont="1"/>
    <xf borderId="18" fillId="0" fontId="10" numFmtId="0" xfId="0" applyAlignment="1" applyBorder="1" applyFont="1">
      <alignment horizontal="center" shrinkToFit="0" wrapText="1"/>
    </xf>
    <xf borderId="19" fillId="0" fontId="10" numFmtId="0" xfId="0" applyAlignment="1" applyBorder="1" applyFont="1">
      <alignment horizontal="center"/>
    </xf>
    <xf borderId="19" fillId="0" fontId="5" numFmtId="0" xfId="0" applyAlignment="1" applyBorder="1" applyFont="1">
      <alignment horizontal="center"/>
    </xf>
    <xf borderId="1" fillId="0" fontId="5" numFmtId="166" xfId="0" applyAlignment="1" applyBorder="1" applyFont="1" applyNumberFormat="1">
      <alignment horizontal="center"/>
    </xf>
    <xf borderId="0" fillId="0" fontId="21" numFmtId="164" xfId="0" applyFont="1" applyNumberFormat="1"/>
    <xf borderId="7" fillId="7" fontId="4" numFmtId="0" xfId="0" applyBorder="1" applyFont="1"/>
    <xf borderId="7" fillId="7" fontId="4" numFmtId="164" xfId="0" applyBorder="1" applyFont="1" applyNumberFormat="1"/>
    <xf borderId="7" fillId="11" fontId="4" numFmtId="164" xfId="0" applyBorder="1" applyFill="1" applyFont="1" applyNumberFormat="1"/>
    <xf borderId="0" fillId="0" fontId="4" numFmtId="10" xfId="0" applyFont="1" applyNumberFormat="1"/>
    <xf borderId="9" fillId="6" fontId="6" numFmtId="164" xfId="0" applyAlignment="1" applyBorder="1" applyFont="1" applyNumberFormat="1">
      <alignment horizontal="center"/>
    </xf>
    <xf borderId="7" fillId="7" fontId="4" numFmtId="168" xfId="0" applyBorder="1" applyFont="1" applyNumberFormat="1"/>
    <xf borderId="7" fillId="7" fontId="4" numFmtId="10" xfId="0" applyBorder="1" applyFont="1" applyNumberFormat="1"/>
    <xf borderId="9" fillId="12" fontId="6" numFmtId="0" xfId="0" applyBorder="1" applyFill="1" applyFont="1"/>
    <xf borderId="0" fillId="0" fontId="4" numFmtId="168" xfId="0" applyFont="1" applyNumberFormat="1"/>
    <xf borderId="7" fillId="2" fontId="4" numFmtId="0" xfId="0" applyBorder="1" applyFont="1"/>
    <xf borderId="7" fillId="2" fontId="4" numFmtId="164" xfId="0" applyBorder="1" applyFont="1" applyNumberFormat="1"/>
    <xf borderId="1" fillId="13" fontId="22" numFmtId="0" xfId="0" applyAlignment="1" applyBorder="1" applyFill="1" applyFont="1">
      <alignment vertical="top"/>
    </xf>
    <xf borderId="1" fillId="14" fontId="22" numFmtId="0" xfId="0" applyAlignment="1" applyBorder="1" applyFill="1" applyFont="1">
      <alignment vertical="top"/>
    </xf>
    <xf borderId="1" fillId="2" fontId="23" numFmtId="168" xfId="0" applyAlignment="1" applyBorder="1" applyFont="1" applyNumberFormat="1">
      <alignment vertical="top"/>
    </xf>
    <xf borderId="1" fillId="0" fontId="23" numFmtId="0" xfId="0" applyAlignment="1" applyBorder="1" applyFont="1">
      <alignment vertical="top"/>
    </xf>
    <xf borderId="1" fillId="0" fontId="4" numFmtId="0" xfId="0" applyAlignment="1" applyBorder="1" applyFont="1">
      <alignment vertical="top"/>
    </xf>
    <xf borderId="1" fillId="0" fontId="24" numFmtId="0" xfId="0" applyAlignment="1" applyBorder="1" applyFont="1">
      <alignment vertical="top"/>
    </xf>
    <xf borderId="1" fillId="0" fontId="23" numFmtId="168" xfId="0" applyAlignment="1" applyBorder="1" applyFont="1" applyNumberFormat="1">
      <alignment vertical="top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ysmd4otb05@m.expediapartnercentral.com" TargetMode="External"/><Relationship Id="rId2" Type="http://schemas.openxmlformats.org/officeDocument/2006/relationships/hyperlink" Target="mailto:bnm8yolv1s@m.expediapartnercentral.com" TargetMode="External"/><Relationship Id="rId3" Type="http://schemas.openxmlformats.org/officeDocument/2006/relationships/hyperlink" Target="mailto:ttaylo.609994@guest.booking.com" TargetMode="External"/><Relationship Id="rId4" Type="http://schemas.openxmlformats.org/officeDocument/2006/relationships/hyperlink" Target="http://booking.com/" TargetMode="External"/><Relationship Id="rId9" Type="http://schemas.openxmlformats.org/officeDocument/2006/relationships/drawing" Target="../drawings/drawing3.xml"/><Relationship Id="rId5" Type="http://schemas.openxmlformats.org/officeDocument/2006/relationships/hyperlink" Target="mailto:jmyers.748862@guest.booking.com" TargetMode="External"/><Relationship Id="rId6" Type="http://schemas.openxmlformats.org/officeDocument/2006/relationships/hyperlink" Target="http://booking.com/" TargetMode="External"/><Relationship Id="rId7" Type="http://schemas.openxmlformats.org/officeDocument/2006/relationships/hyperlink" Target="mailto:dthomp.292410@guest.booking.com" TargetMode="External"/><Relationship Id="rId8" Type="http://schemas.openxmlformats.org/officeDocument/2006/relationships/hyperlink" Target="http://booking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7.25"/>
    <col customWidth="1" min="2" max="2" width="25.88"/>
    <col customWidth="1" min="3" max="3" width="21.13"/>
    <col customWidth="1" min="4" max="4" width="15.63"/>
    <col customWidth="1" min="5" max="5" width="15.38"/>
    <col customWidth="1" min="6" max="6" width="19.13"/>
    <col customWidth="1" min="7" max="7" width="17.13"/>
    <col customWidth="1" min="8" max="8" width="16.63"/>
    <col customWidth="1" min="9" max="9" width="34.13"/>
    <col customWidth="1" min="10" max="10" width="12.5"/>
    <col customWidth="1" min="11" max="11" width="10.63"/>
    <col customWidth="1" min="12" max="12" width="13.0"/>
    <col customWidth="1" min="13" max="13" width="12.0"/>
    <col customWidth="1" min="14" max="14" width="19.38"/>
    <col customWidth="1" min="15" max="15" width="13.38"/>
    <col customWidth="1" min="16" max="17" width="10.38"/>
    <col customWidth="1" min="18" max="18" width="19.13"/>
  </cols>
  <sheetData>
    <row r="1" ht="45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6" t="s">
        <v>7</v>
      </c>
      <c r="I1" s="7" t="s">
        <v>8</v>
      </c>
      <c r="J1" s="8" t="s">
        <v>9</v>
      </c>
      <c r="K1" s="9" t="s">
        <v>10</v>
      </c>
      <c r="L1" s="10" t="s">
        <v>11</v>
      </c>
      <c r="M1" s="11" t="s">
        <v>12</v>
      </c>
      <c r="N1" s="11" t="s">
        <v>13</v>
      </c>
      <c r="O1" s="3" t="s">
        <v>14</v>
      </c>
      <c r="P1" s="12" t="s">
        <v>15</v>
      </c>
      <c r="Q1" s="13"/>
      <c r="R1" s="14" t="s">
        <v>16</v>
      </c>
      <c r="S1" s="15"/>
      <c r="T1" s="15"/>
      <c r="U1" s="15"/>
      <c r="V1" s="15"/>
      <c r="W1" s="15"/>
      <c r="X1" s="15"/>
      <c r="Y1" s="15"/>
      <c r="Z1" s="15"/>
      <c r="AA1" s="15"/>
    </row>
    <row r="2" ht="30.0" customHeight="1">
      <c r="A2" s="16" t="s">
        <v>17</v>
      </c>
      <c r="B2" s="17" t="s">
        <v>18</v>
      </c>
      <c r="C2" s="18" t="s">
        <v>19</v>
      </c>
      <c r="D2" s="19"/>
      <c r="E2" s="20">
        <v>7.0</v>
      </c>
      <c r="F2" s="21"/>
      <c r="G2" s="22"/>
      <c r="H2" s="23">
        <v>10.0</v>
      </c>
      <c r="I2" s="20">
        <v>90.0</v>
      </c>
      <c r="J2" s="24">
        <f>D2*10%</f>
        <v>0</v>
      </c>
      <c r="K2" s="24">
        <f t="shared" ref="K2:K3" si="1">J2*3</f>
        <v>0</v>
      </c>
      <c r="L2" s="25">
        <f t="shared" ref="L2:L3" si="2">J2*3</f>
        <v>0</v>
      </c>
      <c r="M2" s="26">
        <f t="shared" ref="M2:M6" si="3">D2*F2</f>
        <v>0</v>
      </c>
      <c r="N2" s="26">
        <f t="shared" ref="N2:N7" si="4">D2*G2</f>
        <v>0</v>
      </c>
      <c r="O2" s="24">
        <f t="shared" ref="O2:O5" si="5">N2+M2</f>
        <v>0</v>
      </c>
      <c r="P2" s="24">
        <f t="shared" ref="P2:P6" si="6">L2-O2</f>
        <v>0</v>
      </c>
      <c r="Q2" s="27" t="s">
        <v>20</v>
      </c>
      <c r="R2" s="15"/>
      <c r="S2" s="15"/>
      <c r="T2" s="15"/>
      <c r="U2" s="15"/>
      <c r="V2" s="15"/>
      <c r="W2" s="15"/>
      <c r="X2" s="15"/>
      <c r="Y2" s="15"/>
      <c r="Z2" s="15"/>
      <c r="AA2" s="15"/>
    </row>
    <row r="3" ht="27.0" customHeight="1">
      <c r="A3" s="28"/>
      <c r="B3" s="29"/>
      <c r="C3" s="30" t="s">
        <v>21</v>
      </c>
      <c r="D3" s="19"/>
      <c r="E3" s="20">
        <v>7.0</v>
      </c>
      <c r="F3" s="21"/>
      <c r="G3" s="22"/>
      <c r="H3" s="23">
        <v>5.0</v>
      </c>
      <c r="I3" s="20">
        <v>90.0</v>
      </c>
      <c r="J3" s="24">
        <f>D3*5%</f>
        <v>0</v>
      </c>
      <c r="K3" s="24">
        <f t="shared" si="1"/>
        <v>0</v>
      </c>
      <c r="L3" s="25">
        <f t="shared" si="2"/>
        <v>0</v>
      </c>
      <c r="M3" s="26">
        <f t="shared" si="3"/>
        <v>0</v>
      </c>
      <c r="N3" s="26">
        <f t="shared" si="4"/>
        <v>0</v>
      </c>
      <c r="O3" s="24">
        <f t="shared" si="5"/>
        <v>0</v>
      </c>
      <c r="P3" s="24">
        <f t="shared" si="6"/>
        <v>0</v>
      </c>
      <c r="Q3" s="27" t="s">
        <v>20</v>
      </c>
    </row>
    <row r="4" ht="27.0" customHeight="1">
      <c r="A4" s="28"/>
      <c r="B4" s="29"/>
      <c r="C4" s="30" t="s">
        <v>22</v>
      </c>
      <c r="D4" s="19"/>
      <c r="E4" s="20">
        <v>7.0</v>
      </c>
      <c r="F4" s="21"/>
      <c r="G4" s="22"/>
      <c r="H4" s="31">
        <v>10000.0</v>
      </c>
      <c r="I4" s="20">
        <v>0.0</v>
      </c>
      <c r="J4" s="24">
        <f>H4</f>
        <v>10000</v>
      </c>
      <c r="K4" s="24">
        <f>J4</f>
        <v>10000</v>
      </c>
      <c r="L4" s="32">
        <f>J4</f>
        <v>10000</v>
      </c>
      <c r="M4" s="26">
        <f t="shared" si="3"/>
        <v>0</v>
      </c>
      <c r="N4" s="26">
        <f t="shared" si="4"/>
        <v>0</v>
      </c>
      <c r="O4" s="24">
        <f t="shared" si="5"/>
        <v>0</v>
      </c>
      <c r="P4" s="24">
        <f t="shared" si="6"/>
        <v>10000</v>
      </c>
      <c r="Q4" s="27" t="s">
        <v>20</v>
      </c>
    </row>
    <row r="5" ht="27.75" customHeight="1">
      <c r="A5" s="28"/>
      <c r="B5" s="33" t="s">
        <v>23</v>
      </c>
      <c r="C5" s="34" t="s">
        <v>24</v>
      </c>
      <c r="D5" s="35"/>
      <c r="E5" s="36">
        <v>7.0</v>
      </c>
      <c r="F5" s="37"/>
      <c r="G5" s="38"/>
      <c r="H5" s="39">
        <v>0.0</v>
      </c>
      <c r="I5" s="36">
        <v>0.0</v>
      </c>
      <c r="J5" s="40">
        <f t="shared" ref="J5:J6" si="7">D5*0%</f>
        <v>0</v>
      </c>
      <c r="K5" s="40">
        <f t="shared" ref="K5:K6" si="8">J5*3</f>
        <v>0</v>
      </c>
      <c r="L5" s="41">
        <f t="shared" ref="L5:L6" si="9">J5*3</f>
        <v>0</v>
      </c>
      <c r="M5" s="40">
        <f t="shared" si="3"/>
        <v>0</v>
      </c>
      <c r="N5" s="40">
        <f t="shared" si="4"/>
        <v>0</v>
      </c>
      <c r="O5" s="40">
        <f t="shared" si="5"/>
        <v>0</v>
      </c>
      <c r="P5" s="40">
        <f t="shared" si="6"/>
        <v>0</v>
      </c>
      <c r="Q5" s="36" t="s">
        <v>25</v>
      </c>
      <c r="R5" s="42"/>
      <c r="S5" s="42"/>
      <c r="T5" s="42"/>
      <c r="U5" s="42"/>
      <c r="V5" s="42"/>
      <c r="W5" s="42"/>
      <c r="X5" s="42"/>
      <c r="Y5" s="42"/>
      <c r="Z5" s="42"/>
      <c r="AA5" s="42"/>
    </row>
    <row r="6" ht="28.5" customHeight="1">
      <c r="A6" s="28"/>
      <c r="B6" s="43" t="s">
        <v>26</v>
      </c>
      <c r="C6" s="44" t="s">
        <v>24</v>
      </c>
      <c r="D6" s="45"/>
      <c r="E6" s="46">
        <v>7.0</v>
      </c>
      <c r="F6" s="47"/>
      <c r="G6" s="47"/>
      <c r="H6" s="48">
        <v>0.0</v>
      </c>
      <c r="I6" s="46">
        <v>0.0</v>
      </c>
      <c r="J6" s="49">
        <f t="shared" si="7"/>
        <v>0</v>
      </c>
      <c r="K6" s="49">
        <f t="shared" si="8"/>
        <v>0</v>
      </c>
      <c r="L6" s="50">
        <f t="shared" si="9"/>
        <v>0</v>
      </c>
      <c r="M6" s="49">
        <f t="shared" si="3"/>
        <v>0</v>
      </c>
      <c r="N6" s="49">
        <f t="shared" si="4"/>
        <v>0</v>
      </c>
      <c r="O6" s="49">
        <f>IF(G6&lt;0.13, 0, G6*D6)</f>
        <v>0</v>
      </c>
      <c r="P6" s="49">
        <f t="shared" si="6"/>
        <v>0</v>
      </c>
      <c r="Q6" s="46" t="s">
        <v>25</v>
      </c>
      <c r="R6" s="51"/>
      <c r="S6" s="51"/>
      <c r="T6" s="51"/>
      <c r="U6" s="51"/>
      <c r="V6" s="51"/>
      <c r="W6" s="51"/>
      <c r="X6" s="51"/>
      <c r="Y6" s="51"/>
      <c r="Z6" s="51"/>
      <c r="AA6" s="51"/>
    </row>
    <row r="7" ht="33.0" customHeight="1">
      <c r="A7" s="16"/>
      <c r="B7" s="52" t="s">
        <v>27</v>
      </c>
      <c r="C7" s="53"/>
      <c r="D7" s="54"/>
      <c r="E7" s="53"/>
      <c r="F7" s="55"/>
      <c r="G7" s="56"/>
      <c r="H7" s="57"/>
      <c r="I7" s="58">
        <v>31.0</v>
      </c>
      <c r="J7" s="53"/>
      <c r="K7" s="53"/>
      <c r="L7" s="59"/>
      <c r="M7" s="60">
        <f>(D7*F7)/3</f>
        <v>0</v>
      </c>
      <c r="N7" s="60">
        <f t="shared" si="4"/>
        <v>0</v>
      </c>
      <c r="O7" s="60">
        <f>-(M7+N7)/3</f>
        <v>0</v>
      </c>
      <c r="P7" s="60">
        <f>O7</f>
        <v>0</v>
      </c>
      <c r="Q7" s="53"/>
      <c r="R7" s="61"/>
      <c r="S7" s="61"/>
      <c r="T7" s="61"/>
      <c r="U7" s="61"/>
      <c r="V7" s="61"/>
      <c r="W7" s="61"/>
      <c r="X7" s="61"/>
      <c r="Y7" s="61"/>
      <c r="Z7" s="61"/>
      <c r="AA7" s="61"/>
    </row>
    <row r="8" ht="15.75" customHeight="1">
      <c r="G8" s="62"/>
      <c r="L8" s="62"/>
    </row>
    <row r="9" ht="15.75" customHeight="1">
      <c r="G9" s="62"/>
      <c r="L9" s="62"/>
    </row>
    <row r="10" ht="15.75" customHeight="1">
      <c r="L10" s="62"/>
    </row>
    <row r="11" ht="15.75" customHeight="1">
      <c r="G11" s="62"/>
      <c r="L11" s="63" t="s">
        <v>28</v>
      </c>
      <c r="O11" s="15"/>
    </row>
    <row r="12" ht="15.75" customHeight="1">
      <c r="G12" s="62"/>
      <c r="H12" s="64"/>
      <c r="I12" s="65" t="s">
        <v>29</v>
      </c>
      <c r="J12" s="65" t="s">
        <v>30</v>
      </c>
      <c r="K12" s="65" t="s">
        <v>31</v>
      </c>
      <c r="L12" s="66"/>
      <c r="N12" s="15"/>
      <c r="O12" s="15"/>
      <c r="P12" s="15"/>
    </row>
    <row r="13" ht="15.75" customHeight="1">
      <c r="G13" s="62"/>
      <c r="H13" s="67" t="s">
        <v>32</v>
      </c>
      <c r="I13" s="68">
        <v>0.1</v>
      </c>
      <c r="J13" s="69">
        <v>90.0</v>
      </c>
      <c r="K13" s="70">
        <f t="shared" ref="K13:K18" si="10">P2</f>
        <v>0</v>
      </c>
      <c r="L13" s="71"/>
      <c r="N13" s="15"/>
      <c r="O13" s="72"/>
      <c r="P13" s="73"/>
    </row>
    <row r="14" ht="15.75" customHeight="1">
      <c r="B14" s="74" t="s">
        <v>33</v>
      </c>
      <c r="H14" s="75" t="s">
        <v>34</v>
      </c>
      <c r="I14" s="68">
        <v>0.05</v>
      </c>
      <c r="J14" s="76">
        <v>90.0</v>
      </c>
      <c r="K14" s="70">
        <f t="shared" si="10"/>
        <v>0</v>
      </c>
      <c r="L14" s="71"/>
    </row>
    <row r="15">
      <c r="G15" s="62"/>
      <c r="H15" s="67" t="s">
        <v>32</v>
      </c>
      <c r="I15" s="69" t="s">
        <v>35</v>
      </c>
      <c r="J15" s="77" t="s">
        <v>36</v>
      </c>
      <c r="K15" s="78">
        <f t="shared" si="10"/>
        <v>10000</v>
      </c>
      <c r="L15" s="71"/>
    </row>
    <row r="16">
      <c r="H16" s="79" t="s">
        <v>37</v>
      </c>
      <c r="I16" s="69" t="s">
        <v>38</v>
      </c>
      <c r="J16" s="76"/>
      <c r="K16" s="78">
        <f t="shared" si="10"/>
        <v>0</v>
      </c>
      <c r="L16" s="71">
        <f>K16/3</f>
        <v>0</v>
      </c>
    </row>
    <row r="17">
      <c r="H17" s="67" t="s">
        <v>32</v>
      </c>
      <c r="I17" s="69" t="s">
        <v>39</v>
      </c>
      <c r="J17" s="76"/>
      <c r="K17" s="78">
        <f t="shared" si="10"/>
        <v>0</v>
      </c>
      <c r="L17" s="71"/>
    </row>
    <row r="18">
      <c r="H18" s="80" t="s">
        <v>40</v>
      </c>
      <c r="I18" s="81"/>
      <c r="J18" s="81">
        <v>30.0</v>
      </c>
      <c r="K18" s="70">
        <f t="shared" si="10"/>
        <v>0</v>
      </c>
      <c r="L18" s="71"/>
    </row>
    <row r="19">
      <c r="H19" s="82" t="s">
        <v>41</v>
      </c>
      <c r="I19" s="68"/>
      <c r="J19" s="76"/>
      <c r="K19" s="81"/>
      <c r="L19" s="83"/>
    </row>
    <row r="21">
      <c r="E21" s="15"/>
    </row>
    <row r="24">
      <c r="A24" s="84"/>
      <c r="B24" s="85" t="s">
        <v>42</v>
      </c>
      <c r="C24" s="86" t="s">
        <v>43</v>
      </c>
      <c r="D24" s="86" t="s">
        <v>44</v>
      </c>
      <c r="E24" s="86" t="s">
        <v>45</v>
      </c>
      <c r="F24" s="86"/>
      <c r="G24" s="86"/>
    </row>
    <row r="25">
      <c r="A25" s="84"/>
      <c r="B25" s="87" t="s">
        <v>46</v>
      </c>
      <c r="C25" s="88"/>
      <c r="D25" s="88"/>
      <c r="E25" s="88"/>
      <c r="F25" s="89"/>
      <c r="G25" s="89"/>
      <c r="H25" s="73">
        <f>SUM(C25:G25)</f>
        <v>0</v>
      </c>
    </row>
    <row r="26">
      <c r="A26" s="84"/>
      <c r="B26" s="87" t="s">
        <v>47</v>
      </c>
      <c r="C26" s="88"/>
      <c r="D26" s="88"/>
      <c r="E26" s="88"/>
      <c r="F26" s="89"/>
      <c r="G26" s="89"/>
      <c r="N26" s="90"/>
    </row>
    <row r="27">
      <c r="A27" s="84"/>
      <c r="B27" s="87" t="s">
        <v>48</v>
      </c>
      <c r="C27" s="91" t="str">
        <f t="shared" ref="C27:G27" si="11">C26/C25</f>
        <v>#DIV/0!</v>
      </c>
      <c r="D27" s="91" t="str">
        <f t="shared" si="11"/>
        <v>#DIV/0!</v>
      </c>
      <c r="E27" s="91" t="str">
        <f t="shared" si="11"/>
        <v>#DIV/0!</v>
      </c>
      <c r="F27" s="92" t="str">
        <f t="shared" si="11"/>
        <v>#DIV/0!</v>
      </c>
      <c r="G27" s="92" t="str">
        <f t="shared" si="11"/>
        <v>#DIV/0!</v>
      </c>
    </row>
    <row r="28">
      <c r="A28" s="84"/>
      <c r="B28" s="93" t="s">
        <v>49</v>
      </c>
      <c r="C28" s="92" t="str">
        <f t="shared" ref="C28:E28" si="12">C29/C25</f>
        <v>#DIV/0!</v>
      </c>
      <c r="D28" s="94" t="str">
        <f t="shared" si="12"/>
        <v>#DIV/0!</v>
      </c>
      <c r="E28" s="92" t="str">
        <f t="shared" si="12"/>
        <v>#DIV/0!</v>
      </c>
      <c r="F28" s="92" t="str">
        <f>L39/F25</f>
        <v>#DIV/0!</v>
      </c>
      <c r="G28" s="92" t="str">
        <f>L40/G25</f>
        <v>#DIV/0!</v>
      </c>
    </row>
    <row r="29">
      <c r="A29" s="64"/>
      <c r="B29" s="95" t="s">
        <v>50</v>
      </c>
      <c r="C29" s="96"/>
      <c r="D29" s="96"/>
      <c r="E29" s="96"/>
      <c r="F29" s="97"/>
      <c r="G29" s="97"/>
    </row>
    <row r="30">
      <c r="A30" s="64"/>
      <c r="B30" s="64"/>
      <c r="C30" s="64"/>
    </row>
    <row r="31">
      <c r="A31" s="98"/>
      <c r="B31" s="99" t="s">
        <v>42</v>
      </c>
      <c r="C31" s="100" t="s">
        <v>51</v>
      </c>
    </row>
    <row r="32">
      <c r="A32" s="98"/>
      <c r="B32" s="99" t="s">
        <v>52</v>
      </c>
      <c r="C32" s="100"/>
    </row>
    <row r="33">
      <c r="A33" s="84"/>
      <c r="B33" s="85" t="s">
        <v>53</v>
      </c>
      <c r="C33" s="89"/>
    </row>
    <row r="34">
      <c r="A34" s="84"/>
      <c r="B34" s="85" t="s">
        <v>54</v>
      </c>
      <c r="C34" s="92" t="str">
        <f>C33/C32</f>
        <v>#DIV/0!</v>
      </c>
      <c r="I34" s="101"/>
      <c r="J34" s="101"/>
    </row>
    <row r="35">
      <c r="I35" s="101"/>
      <c r="J35" s="101"/>
      <c r="K35" s="101"/>
      <c r="L35" s="101"/>
      <c r="M35" s="101"/>
    </row>
    <row r="36">
      <c r="I36" s="101"/>
      <c r="J36" s="102"/>
      <c r="K36" s="102"/>
      <c r="L36" s="102"/>
      <c r="M36" s="102"/>
    </row>
    <row r="37">
      <c r="I37" s="101"/>
      <c r="J37" s="102"/>
      <c r="K37" s="102"/>
      <c r="L37" s="102"/>
      <c r="M37" s="102"/>
    </row>
    <row r="38">
      <c r="B38" s="103" t="s">
        <v>55</v>
      </c>
      <c r="C38" s="103" t="s">
        <v>56</v>
      </c>
      <c r="I38" s="101"/>
      <c r="J38" s="104"/>
      <c r="K38" s="104"/>
      <c r="L38" s="104"/>
      <c r="M38" s="104"/>
    </row>
    <row r="39">
      <c r="A39" s="105" t="s">
        <v>57</v>
      </c>
      <c r="B39" s="106" t="s">
        <v>58</v>
      </c>
      <c r="C39" s="106" t="s">
        <v>59</v>
      </c>
      <c r="I39" s="101"/>
      <c r="J39" s="104"/>
      <c r="K39" s="104"/>
      <c r="L39" s="104"/>
      <c r="M39" s="104"/>
    </row>
    <row r="40">
      <c r="A40" s="107"/>
      <c r="B40" s="106" t="s">
        <v>60</v>
      </c>
      <c r="C40" s="106" t="s">
        <v>61</v>
      </c>
      <c r="I40" s="101"/>
      <c r="J40" s="104"/>
      <c r="K40" s="104"/>
      <c r="L40" s="104"/>
      <c r="M40" s="104"/>
    </row>
    <row r="41">
      <c r="A41" s="107"/>
      <c r="B41" s="106" t="s">
        <v>62</v>
      </c>
      <c r="C41" s="106" t="s">
        <v>63</v>
      </c>
      <c r="I41" s="101"/>
      <c r="J41" s="104"/>
      <c r="K41" s="104"/>
      <c r="L41" s="104"/>
      <c r="M41" s="104"/>
    </row>
    <row r="42">
      <c r="A42" s="108"/>
      <c r="B42" s="106" t="s">
        <v>64</v>
      </c>
      <c r="C42" s="106" t="s">
        <v>65</v>
      </c>
      <c r="I42" s="101"/>
      <c r="J42" s="104"/>
      <c r="K42" s="104"/>
      <c r="L42" s="104"/>
      <c r="M42" s="104"/>
    </row>
    <row r="50">
      <c r="B50" s="109"/>
      <c r="C50" s="109"/>
      <c r="D50" s="110"/>
    </row>
    <row r="51">
      <c r="B51" s="109"/>
      <c r="C51" s="109"/>
      <c r="D51" s="111"/>
    </row>
    <row r="52">
      <c r="B52" s="109"/>
      <c r="C52" s="109"/>
      <c r="D52" s="111"/>
    </row>
    <row r="53">
      <c r="B53" s="109"/>
      <c r="C53" s="109"/>
      <c r="D53" s="111"/>
    </row>
    <row r="54">
      <c r="B54" s="109"/>
      <c r="C54" s="109"/>
      <c r="D54" s="111"/>
    </row>
    <row r="55">
      <c r="B55" s="109"/>
      <c r="C55" s="109"/>
      <c r="D55" s="111"/>
    </row>
    <row r="56">
      <c r="B56" s="109"/>
      <c r="C56" s="109"/>
      <c r="D56" s="111"/>
    </row>
    <row r="57">
      <c r="B57" s="109"/>
      <c r="C57" s="109"/>
      <c r="D57" s="111"/>
    </row>
    <row r="58">
      <c r="B58" s="109"/>
      <c r="C58" s="109"/>
      <c r="D58" s="111"/>
    </row>
    <row r="59">
      <c r="B59" s="109"/>
      <c r="C59" s="109"/>
      <c r="D59" s="111"/>
    </row>
    <row r="60">
      <c r="B60" s="109"/>
      <c r="C60" s="109"/>
      <c r="D60" s="111"/>
    </row>
    <row r="61">
      <c r="B61" s="109"/>
      <c r="C61" s="109"/>
      <c r="D61" s="111"/>
    </row>
    <row r="62">
      <c r="B62" s="109"/>
      <c r="C62" s="109"/>
      <c r="D62" s="111"/>
    </row>
    <row r="63">
      <c r="B63" s="109"/>
      <c r="C63" s="109"/>
      <c r="D63" s="111"/>
      <c r="E63" s="101"/>
      <c r="F63" s="104"/>
    </row>
    <row r="64">
      <c r="B64" s="109"/>
      <c r="C64" s="109"/>
      <c r="D64" s="111"/>
    </row>
    <row r="65">
      <c r="B65" s="109"/>
      <c r="C65" s="109"/>
      <c r="D65" s="111"/>
    </row>
    <row r="66">
      <c r="B66" s="109"/>
      <c r="C66" s="109"/>
      <c r="D66" s="111"/>
    </row>
    <row r="67">
      <c r="B67" s="109"/>
      <c r="C67" s="109"/>
      <c r="D67" s="111"/>
    </row>
    <row r="73">
      <c r="B73" s="112" t="s">
        <v>66</v>
      </c>
      <c r="C73" s="113">
        <v>0.05298788529990689</v>
      </c>
    </row>
    <row r="74">
      <c r="B74" s="112" t="s">
        <v>67</v>
      </c>
      <c r="C74" s="113">
        <v>0.07554782020933179</v>
      </c>
    </row>
    <row r="75">
      <c r="B75" s="112" t="s">
        <v>68</v>
      </c>
      <c r="C75" s="113">
        <v>0.09531890264631561</v>
      </c>
    </row>
    <row r="76">
      <c r="B76" s="112" t="s">
        <v>69</v>
      </c>
      <c r="C76" s="113">
        <v>0.0909763168971911</v>
      </c>
    </row>
    <row r="77">
      <c r="B77" s="112" t="s">
        <v>70</v>
      </c>
      <c r="C77" s="113">
        <v>0.13465931644825033</v>
      </c>
    </row>
    <row r="78">
      <c r="B78" s="112" t="s">
        <v>71</v>
      </c>
      <c r="C78" s="113">
        <v>0.15983658885557994</v>
      </c>
    </row>
  </sheetData>
  <mergeCells count="2">
    <mergeCell ref="P1:Q1"/>
    <mergeCell ref="A39:A42"/>
  </mergeCell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9.13"/>
    <col customWidth="1" min="2" max="2" width="24.13"/>
    <col customWidth="1" min="7" max="7" width="15.88"/>
  </cols>
  <sheetData>
    <row r="1" ht="15.75" customHeight="1">
      <c r="A1" s="114" t="s">
        <v>1</v>
      </c>
      <c r="B1" s="3" t="s">
        <v>72</v>
      </c>
      <c r="C1" s="4" t="s">
        <v>3</v>
      </c>
      <c r="D1" s="5" t="s">
        <v>4</v>
      </c>
      <c r="E1" s="4" t="s">
        <v>5</v>
      </c>
      <c r="F1" s="4" t="s">
        <v>6</v>
      </c>
      <c r="G1" s="6" t="s">
        <v>7</v>
      </c>
      <c r="H1" s="7" t="s">
        <v>8</v>
      </c>
      <c r="I1" s="8" t="s">
        <v>9</v>
      </c>
      <c r="J1" s="9" t="s">
        <v>10</v>
      </c>
      <c r="K1" s="10" t="s">
        <v>11</v>
      </c>
      <c r="L1" s="11" t="s">
        <v>12</v>
      </c>
      <c r="M1" s="11" t="s">
        <v>13</v>
      </c>
      <c r="N1" s="3" t="s">
        <v>14</v>
      </c>
      <c r="O1" s="12" t="s">
        <v>15</v>
      </c>
      <c r="P1" s="13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ht="15.75" customHeight="1">
      <c r="A2" s="115" t="s">
        <v>73</v>
      </c>
      <c r="B2" s="115" t="s">
        <v>74</v>
      </c>
      <c r="C2" s="116">
        <f>D32</f>
        <v>489742.61</v>
      </c>
      <c r="D2" s="20">
        <v>7.0</v>
      </c>
      <c r="E2" s="21">
        <v>0.02090985448942743</v>
      </c>
      <c r="F2" s="22">
        <f>D34</f>
        <v>0.02226532831</v>
      </c>
      <c r="G2" s="23">
        <v>10.0</v>
      </c>
      <c r="H2" s="20">
        <v>90.0</v>
      </c>
      <c r="I2" s="24">
        <f>C2*10%</f>
        <v>48974.261</v>
      </c>
      <c r="J2" s="24">
        <f t="shared" ref="J2:J5" si="1">I2*3</f>
        <v>146922.783</v>
      </c>
      <c r="K2" s="25">
        <f t="shared" ref="K2:K4" si="2">I2*3</f>
        <v>146922.783</v>
      </c>
      <c r="L2" s="26">
        <f t="shared" ref="L2:L5" si="3">C2*E2</f>
        <v>10240.44671</v>
      </c>
      <c r="M2" s="26">
        <f t="shared" ref="M2:M5" si="4">C2*F2</f>
        <v>10904.28</v>
      </c>
      <c r="N2" s="24">
        <f t="shared" ref="N2:N5" si="5">M2+L2</f>
        <v>21144.72671</v>
      </c>
      <c r="O2" s="24">
        <f t="shared" ref="O2:O5" si="6">K2-N2</f>
        <v>125778.0563</v>
      </c>
      <c r="P2" s="27" t="s">
        <v>20</v>
      </c>
      <c r="Q2" s="15"/>
      <c r="R2" s="15"/>
      <c r="S2" s="15"/>
      <c r="T2" s="15"/>
      <c r="U2" s="15"/>
      <c r="V2" s="15"/>
      <c r="W2" s="15"/>
      <c r="X2" s="15"/>
      <c r="Y2" s="15"/>
      <c r="Z2" s="15"/>
    </row>
    <row r="3" ht="15.75" customHeight="1">
      <c r="A3" s="117"/>
      <c r="B3" s="117" t="s">
        <v>21</v>
      </c>
      <c r="C3" s="19">
        <v>489742.61</v>
      </c>
      <c r="D3" s="20">
        <v>7.0</v>
      </c>
      <c r="E3" s="21">
        <v>0.02090985448942743</v>
      </c>
      <c r="F3" s="22">
        <v>0.02226532831194737</v>
      </c>
      <c r="G3" s="23">
        <v>5.0</v>
      </c>
      <c r="H3" s="20">
        <v>90.0</v>
      </c>
      <c r="I3" s="24">
        <f>C3*5%</f>
        <v>24487.1305</v>
      </c>
      <c r="J3" s="24">
        <f t="shared" si="1"/>
        <v>73461.3915</v>
      </c>
      <c r="K3" s="25">
        <f t="shared" si="2"/>
        <v>73461.3915</v>
      </c>
      <c r="L3" s="26">
        <f t="shared" si="3"/>
        <v>10240.44671</v>
      </c>
      <c r="M3" s="26">
        <f t="shared" si="4"/>
        <v>10904.28</v>
      </c>
      <c r="N3" s="24">
        <f t="shared" si="5"/>
        <v>21144.72671</v>
      </c>
      <c r="O3" s="24">
        <f t="shared" si="6"/>
        <v>52316.66479</v>
      </c>
      <c r="P3" s="27" t="s">
        <v>20</v>
      </c>
    </row>
    <row r="4" ht="15.75" customHeight="1">
      <c r="A4" s="117" t="s">
        <v>26</v>
      </c>
      <c r="B4" s="117" t="s">
        <v>24</v>
      </c>
      <c r="C4" s="19">
        <v>489742.61</v>
      </c>
      <c r="D4" s="20">
        <v>7.0</v>
      </c>
      <c r="E4" s="21">
        <v>0.02090985448942743</v>
      </c>
      <c r="F4" s="22">
        <v>0.02226532831194737</v>
      </c>
      <c r="G4" s="23">
        <v>0.0</v>
      </c>
      <c r="H4" s="20">
        <v>0.0</v>
      </c>
      <c r="I4" s="24">
        <f>C4*0%</f>
        <v>0</v>
      </c>
      <c r="J4" s="24">
        <f t="shared" si="1"/>
        <v>0</v>
      </c>
      <c r="K4" s="25">
        <f t="shared" si="2"/>
        <v>0</v>
      </c>
      <c r="L4" s="26">
        <f t="shared" si="3"/>
        <v>10240.44671</v>
      </c>
      <c r="M4" s="26">
        <f t="shared" si="4"/>
        <v>10904.28</v>
      </c>
      <c r="N4" s="24">
        <f t="shared" si="5"/>
        <v>21144.72671</v>
      </c>
      <c r="O4" s="24">
        <f t="shared" si="6"/>
        <v>-21144.72671</v>
      </c>
      <c r="P4" s="27" t="s">
        <v>25</v>
      </c>
    </row>
    <row r="5" ht="15.75" customHeight="1">
      <c r="A5" s="117"/>
      <c r="B5" s="117" t="s">
        <v>22</v>
      </c>
      <c r="C5" s="19">
        <v>489742.61</v>
      </c>
      <c r="D5" s="20">
        <v>7.0</v>
      </c>
      <c r="E5" s="21">
        <v>0.02090985448942743</v>
      </c>
      <c r="F5" s="22">
        <v>0.02226532831194737</v>
      </c>
      <c r="G5" s="31">
        <v>30000.0</v>
      </c>
      <c r="H5" s="20">
        <v>0.0</v>
      </c>
      <c r="I5" s="24">
        <f>G5</f>
        <v>30000</v>
      </c>
      <c r="J5" s="24">
        <f t="shared" si="1"/>
        <v>90000</v>
      </c>
      <c r="K5" s="32">
        <f>I5</f>
        <v>30000</v>
      </c>
      <c r="L5" s="26">
        <f t="shared" si="3"/>
        <v>10240.44671</v>
      </c>
      <c r="M5" s="26">
        <f t="shared" si="4"/>
        <v>10904.28</v>
      </c>
      <c r="N5" s="24">
        <f t="shared" si="5"/>
        <v>21144.72671</v>
      </c>
      <c r="O5" s="24">
        <f t="shared" si="6"/>
        <v>8855.273288</v>
      </c>
      <c r="P5" s="27" t="s">
        <v>20</v>
      </c>
    </row>
    <row r="6" ht="15.75" customHeight="1">
      <c r="K6" s="62"/>
    </row>
    <row r="7" ht="15.75" customHeight="1">
      <c r="G7" s="64"/>
      <c r="H7" s="65" t="s">
        <v>29</v>
      </c>
      <c r="I7" s="65" t="s">
        <v>30</v>
      </c>
      <c r="J7" s="118" t="s">
        <v>31</v>
      </c>
      <c r="K7" s="62"/>
    </row>
    <row r="8" ht="15.75" customHeight="1">
      <c r="F8" s="62"/>
      <c r="G8" s="67" t="s">
        <v>32</v>
      </c>
      <c r="H8" s="68">
        <v>0.1</v>
      </c>
      <c r="I8" s="119">
        <v>90.0</v>
      </c>
      <c r="J8" s="24">
        <f t="shared" ref="J8:J9" si="7">O2</f>
        <v>125778.0563</v>
      </c>
      <c r="K8" s="62"/>
    </row>
    <row r="9" ht="15.75" customHeight="1">
      <c r="F9" s="62"/>
      <c r="G9" s="75" t="s">
        <v>34</v>
      </c>
      <c r="H9" s="68">
        <v>0.05</v>
      </c>
      <c r="I9" s="120">
        <v>90.0</v>
      </c>
      <c r="J9" s="24">
        <f t="shared" si="7"/>
        <v>52316.66479</v>
      </c>
      <c r="K9" s="62"/>
    </row>
    <row r="10" ht="15.75" customHeight="1">
      <c r="F10" s="62" t="s">
        <v>75</v>
      </c>
      <c r="G10" s="67" t="s">
        <v>32</v>
      </c>
      <c r="H10" s="69" t="s">
        <v>35</v>
      </c>
      <c r="I10" s="120"/>
      <c r="J10" s="121">
        <f>O5</f>
        <v>8855.273288</v>
      </c>
      <c r="K10" s="62"/>
    </row>
    <row r="11" ht="15.75" customHeight="1">
      <c r="F11" s="62"/>
      <c r="G11" s="79" t="s">
        <v>37</v>
      </c>
      <c r="H11" s="69" t="s">
        <v>76</v>
      </c>
      <c r="I11" s="120"/>
      <c r="J11" s="121">
        <f>O4</f>
        <v>-21144.72671</v>
      </c>
      <c r="K11" s="62"/>
    </row>
    <row r="12" ht="15.75" customHeight="1">
      <c r="F12" s="62"/>
      <c r="G12" s="64"/>
      <c r="H12" s="64"/>
      <c r="I12" s="64"/>
      <c r="J12" s="64"/>
      <c r="K12" s="62"/>
    </row>
    <row r="13" ht="15.75" customHeight="1">
      <c r="F13" s="62"/>
      <c r="G13" s="82" t="s">
        <v>41</v>
      </c>
      <c r="H13" s="68">
        <v>0.05</v>
      </c>
      <c r="I13" s="76">
        <v>90.0</v>
      </c>
      <c r="J13" s="64"/>
      <c r="K13" s="62"/>
    </row>
    <row r="14" ht="15.75" customHeight="1">
      <c r="K14" s="62"/>
    </row>
    <row r="15" ht="15.75" customHeight="1">
      <c r="K15" s="62"/>
    </row>
    <row r="16" ht="15.75" customHeight="1">
      <c r="K16" s="62"/>
    </row>
    <row r="17" ht="15.75" customHeight="1">
      <c r="K17" s="62"/>
    </row>
    <row r="18" ht="15.75" customHeight="1">
      <c r="K18" s="62"/>
    </row>
    <row r="19" ht="15.75" customHeight="1">
      <c r="K19" s="62"/>
    </row>
    <row r="20" ht="15.75" customHeight="1">
      <c r="K20" s="62"/>
    </row>
    <row r="21" ht="15.75" customHeight="1">
      <c r="K21" s="62"/>
    </row>
    <row r="22" ht="15.75" customHeight="1">
      <c r="K22" s="62"/>
    </row>
    <row r="23" ht="15.75" customHeight="1">
      <c r="K23" s="62"/>
    </row>
    <row r="24" ht="15.75" customHeight="1">
      <c r="K24" s="62"/>
    </row>
    <row r="25" ht="15.75" customHeight="1">
      <c r="K25" s="62"/>
    </row>
    <row r="26" ht="15.75" customHeight="1">
      <c r="K26" s="62"/>
    </row>
    <row r="27" ht="15.75" customHeight="1">
      <c r="K27" s="62"/>
    </row>
    <row r="28" ht="15.75" customHeight="1">
      <c r="K28" s="62"/>
    </row>
    <row r="29" ht="15.75" customHeight="1">
      <c r="K29" s="62"/>
    </row>
    <row r="30" ht="15.75" customHeight="1">
      <c r="D30" s="122">
        <v>10904.279999999999</v>
      </c>
      <c r="K30" s="62"/>
    </row>
    <row r="31" ht="15.75" customHeight="1">
      <c r="A31" s="15" t="s">
        <v>77</v>
      </c>
      <c r="B31" s="73" t="s">
        <v>78</v>
      </c>
      <c r="K31" s="62"/>
    </row>
    <row r="32" ht="15.75" customHeight="1">
      <c r="A32" s="73"/>
      <c r="B32" s="73">
        <v>0.0</v>
      </c>
      <c r="D32" s="73">
        <f>B33+B38+B39</f>
        <v>489742.61</v>
      </c>
      <c r="K32" s="62"/>
    </row>
    <row r="33" ht="15.75" customHeight="1">
      <c r="A33" s="123">
        <v>1.0</v>
      </c>
      <c r="B33" s="124">
        <v>175285.00999999998</v>
      </c>
      <c r="C33" s="125">
        <f t="shared" ref="C33:C40" si="8">B33*5%</f>
        <v>8764.2505</v>
      </c>
      <c r="K33" s="62"/>
    </row>
    <row r="34" ht="15.75" customHeight="1">
      <c r="A34" s="15">
        <v>2.0</v>
      </c>
      <c r="B34" s="73">
        <v>44559.06</v>
      </c>
      <c r="C34" s="73">
        <f t="shared" si="8"/>
        <v>2227.953</v>
      </c>
      <c r="D34" s="126">
        <f>D30/D32</f>
        <v>0.02226532831</v>
      </c>
      <c r="K34" s="62"/>
    </row>
    <row r="35" ht="15.75" customHeight="1">
      <c r="A35" s="15">
        <v>8.0</v>
      </c>
      <c r="B35" s="73">
        <v>29124.12</v>
      </c>
      <c r="C35" s="73">
        <f t="shared" si="8"/>
        <v>1456.206</v>
      </c>
      <c r="K35" s="62"/>
    </row>
    <row r="36" ht="15.75" customHeight="1">
      <c r="A36" s="15">
        <v>9.0</v>
      </c>
      <c r="B36" s="73">
        <v>67050.32</v>
      </c>
      <c r="C36" s="73">
        <f t="shared" si="8"/>
        <v>3352.516</v>
      </c>
      <c r="K36" s="62"/>
    </row>
    <row r="37" ht="15.75" customHeight="1">
      <c r="A37" s="15">
        <v>10.0</v>
      </c>
      <c r="B37" s="73">
        <v>89555.20000000001</v>
      </c>
      <c r="C37" s="73">
        <f t="shared" si="8"/>
        <v>4477.76</v>
      </c>
      <c r="K37" s="62"/>
    </row>
    <row r="38" ht="15.75" customHeight="1">
      <c r="A38" s="123">
        <v>11.0</v>
      </c>
      <c r="B38" s="124">
        <v>165029.97000000006</v>
      </c>
      <c r="C38" s="125">
        <f t="shared" si="8"/>
        <v>8251.4985</v>
      </c>
      <c r="K38" s="62"/>
    </row>
    <row r="39" ht="15.75" customHeight="1">
      <c r="A39" s="123">
        <v>12.0</v>
      </c>
      <c r="B39" s="124">
        <v>149427.62999999995</v>
      </c>
      <c r="C39" s="125">
        <f t="shared" si="8"/>
        <v>7471.3815</v>
      </c>
      <c r="K39" s="62"/>
    </row>
    <row r="40" ht="15.75" customHeight="1">
      <c r="A40" s="15" t="s">
        <v>79</v>
      </c>
      <c r="B40" s="73">
        <v>720031.3100000002</v>
      </c>
      <c r="C40" s="73">
        <f t="shared" si="8"/>
        <v>36001.5655</v>
      </c>
      <c r="K40" s="62"/>
    </row>
    <row r="41" ht="15.75" customHeight="1">
      <c r="K41" s="62"/>
    </row>
    <row r="42" ht="15.75" customHeight="1">
      <c r="A42" s="106" t="s">
        <v>58</v>
      </c>
      <c r="B42" s="106" t="s">
        <v>59</v>
      </c>
      <c r="K42" s="62"/>
    </row>
    <row r="43" ht="15.75" customHeight="1">
      <c r="A43" s="106" t="s">
        <v>60</v>
      </c>
      <c r="B43" s="106" t="s">
        <v>61</v>
      </c>
      <c r="K43" s="62"/>
    </row>
    <row r="44" ht="15.75" customHeight="1">
      <c r="A44" s="106" t="s">
        <v>62</v>
      </c>
      <c r="B44" s="106" t="s">
        <v>63</v>
      </c>
      <c r="K44" s="62"/>
    </row>
    <row r="45" ht="15.75" customHeight="1">
      <c r="A45" s="106" t="s">
        <v>64</v>
      </c>
      <c r="B45" s="106" t="s">
        <v>65</v>
      </c>
      <c r="K45" s="62"/>
    </row>
    <row r="46" ht="15.75" customHeight="1">
      <c r="K46" s="62"/>
    </row>
    <row r="47" ht="15.75" customHeight="1">
      <c r="K47" s="62"/>
    </row>
    <row r="48" ht="15.75" customHeight="1">
      <c r="K48" s="62"/>
    </row>
    <row r="49" ht="15.75" customHeight="1">
      <c r="K49" s="62"/>
    </row>
    <row r="50" ht="15.75" customHeight="1">
      <c r="K50" s="62"/>
    </row>
    <row r="51" ht="15.75" customHeight="1">
      <c r="K51" s="62"/>
    </row>
    <row r="52" ht="15.75" customHeight="1">
      <c r="K52" s="62"/>
    </row>
    <row r="53" ht="15.75" customHeight="1">
      <c r="K53" s="62"/>
    </row>
    <row r="54" ht="15.75" customHeight="1">
      <c r="K54" s="62"/>
    </row>
    <row r="55" ht="15.75" customHeight="1">
      <c r="K55" s="62"/>
    </row>
    <row r="56" ht="15.75" customHeight="1">
      <c r="K56" s="62"/>
    </row>
    <row r="57" ht="15.75" customHeight="1">
      <c r="K57" s="62"/>
    </row>
    <row r="58" ht="15.75" customHeight="1">
      <c r="K58" s="62"/>
    </row>
    <row r="59" ht="15.75" customHeight="1">
      <c r="K59" s="62"/>
    </row>
    <row r="60" ht="15.75" customHeight="1">
      <c r="K60" s="62"/>
    </row>
    <row r="61" ht="15.75" customHeight="1">
      <c r="K61" s="62"/>
    </row>
    <row r="62" ht="15.75" customHeight="1">
      <c r="K62" s="62"/>
    </row>
    <row r="63" ht="15.75" customHeight="1">
      <c r="K63" s="62"/>
    </row>
    <row r="64" ht="15.75" customHeight="1">
      <c r="K64" s="62"/>
    </row>
    <row r="65" ht="15.75" customHeight="1">
      <c r="K65" s="62"/>
    </row>
    <row r="66" ht="15.75" customHeight="1">
      <c r="K66" s="62"/>
    </row>
    <row r="67" ht="15.75" customHeight="1">
      <c r="K67" s="62"/>
    </row>
    <row r="68" ht="15.75" customHeight="1">
      <c r="K68" s="62"/>
    </row>
    <row r="69" ht="15.75" customHeight="1">
      <c r="K69" s="62"/>
    </row>
    <row r="70" ht="15.75" customHeight="1">
      <c r="K70" s="62"/>
    </row>
    <row r="71" ht="15.75" customHeight="1">
      <c r="K71" s="62"/>
    </row>
    <row r="72" ht="15.75" customHeight="1">
      <c r="K72" s="62"/>
    </row>
    <row r="73" ht="15.75" customHeight="1">
      <c r="K73" s="62"/>
    </row>
    <row r="74" ht="15.75" customHeight="1">
      <c r="K74" s="62"/>
    </row>
    <row r="75" ht="15.75" customHeight="1">
      <c r="K75" s="62"/>
    </row>
    <row r="76" ht="15.75" customHeight="1">
      <c r="K76" s="62"/>
    </row>
    <row r="77" ht="15.75" customHeight="1">
      <c r="K77" s="62"/>
    </row>
    <row r="78" ht="15.75" customHeight="1">
      <c r="K78" s="62"/>
    </row>
    <row r="79" ht="15.75" customHeight="1">
      <c r="K79" s="62"/>
    </row>
    <row r="80" ht="15.75" customHeight="1">
      <c r="K80" s="62"/>
    </row>
    <row r="81" ht="15.75" customHeight="1">
      <c r="K81" s="62"/>
    </row>
    <row r="82" ht="15.75" customHeight="1">
      <c r="K82" s="62"/>
    </row>
    <row r="83" ht="15.75" customHeight="1">
      <c r="K83" s="62"/>
    </row>
    <row r="84" ht="15.75" customHeight="1">
      <c r="K84" s="62"/>
    </row>
    <row r="85" ht="15.75" customHeight="1">
      <c r="K85" s="62"/>
    </row>
    <row r="86" ht="15.75" customHeight="1">
      <c r="K86" s="62"/>
    </row>
    <row r="87" ht="15.75" customHeight="1">
      <c r="K87" s="62"/>
    </row>
    <row r="88" ht="15.75" customHeight="1">
      <c r="K88" s="62"/>
    </row>
    <row r="89" ht="15.75" customHeight="1">
      <c r="K89" s="62"/>
    </row>
    <row r="90" ht="15.75" customHeight="1">
      <c r="K90" s="62"/>
    </row>
    <row r="91" ht="15.75" customHeight="1">
      <c r="K91" s="62"/>
    </row>
    <row r="92" ht="15.75" customHeight="1">
      <c r="K92" s="62"/>
    </row>
    <row r="93" ht="15.75" customHeight="1">
      <c r="K93" s="62"/>
    </row>
    <row r="94" ht="15.75" customHeight="1">
      <c r="K94" s="62"/>
    </row>
    <row r="95" ht="15.75" customHeight="1">
      <c r="K95" s="62"/>
    </row>
    <row r="96" ht="15.75" customHeight="1">
      <c r="K96" s="62"/>
    </row>
    <row r="97" ht="15.75" customHeight="1">
      <c r="K97" s="62"/>
    </row>
    <row r="98" ht="15.75" customHeight="1">
      <c r="K98" s="62"/>
    </row>
    <row r="99" ht="15.75" customHeight="1">
      <c r="K99" s="62"/>
    </row>
    <row r="100" ht="15.75" customHeight="1">
      <c r="K100" s="62"/>
    </row>
    <row r="101" ht="15.75" customHeight="1">
      <c r="K101" s="62"/>
    </row>
    <row r="102" ht="15.75" customHeight="1">
      <c r="K102" s="62"/>
    </row>
    <row r="103" ht="15.75" customHeight="1">
      <c r="K103" s="62"/>
    </row>
    <row r="104" ht="15.75" customHeight="1">
      <c r="K104" s="62"/>
    </row>
    <row r="105" ht="15.75" customHeight="1">
      <c r="K105" s="62"/>
    </row>
    <row r="106" ht="15.75" customHeight="1">
      <c r="K106" s="62"/>
    </row>
    <row r="107" ht="15.75" customHeight="1">
      <c r="K107" s="62"/>
    </row>
    <row r="108" ht="15.75" customHeight="1">
      <c r="K108" s="62"/>
    </row>
    <row r="109" ht="15.75" customHeight="1">
      <c r="K109" s="62"/>
    </row>
    <row r="110" ht="15.75" customHeight="1">
      <c r="K110" s="62"/>
    </row>
    <row r="111" ht="15.75" customHeight="1">
      <c r="K111" s="62"/>
    </row>
    <row r="112" ht="15.75" customHeight="1">
      <c r="K112" s="62"/>
    </row>
    <row r="113" ht="15.75" customHeight="1">
      <c r="K113" s="62"/>
    </row>
    <row r="114" ht="15.75" customHeight="1">
      <c r="K114" s="62"/>
    </row>
    <row r="115" ht="15.75" customHeight="1">
      <c r="K115" s="62"/>
    </row>
    <row r="116" ht="15.75" customHeight="1">
      <c r="K116" s="62"/>
    </row>
    <row r="117" ht="15.75" customHeight="1">
      <c r="K117" s="62"/>
    </row>
    <row r="118" ht="15.75" customHeight="1">
      <c r="K118" s="62"/>
    </row>
    <row r="119" ht="15.75" customHeight="1">
      <c r="K119" s="62"/>
    </row>
    <row r="120" ht="15.75" customHeight="1">
      <c r="K120" s="62"/>
    </row>
    <row r="121" ht="15.75" customHeight="1">
      <c r="K121" s="62"/>
    </row>
    <row r="122" ht="15.75" customHeight="1">
      <c r="K122" s="62"/>
    </row>
    <row r="123" ht="15.75" customHeight="1">
      <c r="K123" s="62"/>
    </row>
    <row r="124" ht="15.75" customHeight="1">
      <c r="K124" s="62"/>
    </row>
    <row r="125" ht="15.75" customHeight="1">
      <c r="K125" s="62"/>
    </row>
    <row r="126" ht="15.75" customHeight="1">
      <c r="K126" s="62"/>
    </row>
    <row r="127" ht="15.75" customHeight="1">
      <c r="K127" s="62"/>
    </row>
    <row r="128" ht="15.75" customHeight="1">
      <c r="K128" s="62"/>
    </row>
    <row r="129" ht="15.75" customHeight="1">
      <c r="K129" s="62"/>
    </row>
    <row r="130" ht="15.75" customHeight="1">
      <c r="K130" s="62"/>
    </row>
    <row r="131" ht="15.75" customHeight="1">
      <c r="K131" s="62"/>
    </row>
    <row r="132" ht="15.75" customHeight="1">
      <c r="K132" s="62"/>
    </row>
    <row r="133" ht="15.75" customHeight="1">
      <c r="K133" s="62"/>
    </row>
    <row r="134" ht="15.75" customHeight="1">
      <c r="K134" s="62"/>
    </row>
    <row r="135" ht="15.75" customHeight="1">
      <c r="K135" s="62"/>
    </row>
    <row r="136" ht="15.75" customHeight="1">
      <c r="K136" s="62"/>
    </row>
    <row r="137" ht="15.75" customHeight="1">
      <c r="K137" s="62"/>
    </row>
    <row r="138" ht="15.75" customHeight="1">
      <c r="K138" s="62"/>
    </row>
    <row r="139" ht="15.75" customHeight="1">
      <c r="K139" s="62"/>
    </row>
    <row r="140" ht="15.75" customHeight="1">
      <c r="K140" s="62"/>
    </row>
    <row r="141" ht="15.75" customHeight="1">
      <c r="K141" s="62"/>
    </row>
    <row r="142" ht="15.75" customHeight="1">
      <c r="K142" s="62"/>
    </row>
    <row r="143" ht="15.75" customHeight="1">
      <c r="K143" s="62"/>
    </row>
    <row r="144" ht="15.75" customHeight="1">
      <c r="K144" s="62"/>
    </row>
    <row r="145" ht="15.75" customHeight="1">
      <c r="K145" s="62"/>
    </row>
    <row r="146" ht="15.75" customHeight="1">
      <c r="K146" s="62"/>
    </row>
    <row r="147" ht="15.75" customHeight="1">
      <c r="K147" s="62"/>
    </row>
    <row r="148" ht="15.75" customHeight="1">
      <c r="K148" s="62"/>
    </row>
    <row r="149" ht="15.75" customHeight="1">
      <c r="K149" s="62"/>
    </row>
    <row r="150" ht="15.75" customHeight="1">
      <c r="K150" s="62"/>
    </row>
    <row r="151" ht="15.75" customHeight="1">
      <c r="K151" s="62"/>
    </row>
    <row r="152" ht="15.75" customHeight="1">
      <c r="K152" s="62"/>
    </row>
    <row r="153" ht="15.75" customHeight="1">
      <c r="K153" s="62"/>
    </row>
    <row r="154" ht="15.75" customHeight="1">
      <c r="K154" s="62"/>
    </row>
    <row r="155" ht="15.75" customHeight="1">
      <c r="K155" s="62"/>
    </row>
    <row r="156" ht="15.75" customHeight="1">
      <c r="K156" s="62"/>
    </row>
    <row r="157" ht="15.75" customHeight="1">
      <c r="K157" s="62"/>
    </row>
    <row r="158" ht="15.75" customHeight="1">
      <c r="K158" s="62"/>
    </row>
    <row r="159" ht="15.75" customHeight="1">
      <c r="K159" s="62"/>
    </row>
    <row r="160" ht="15.75" customHeight="1">
      <c r="K160" s="62"/>
    </row>
    <row r="161" ht="15.75" customHeight="1">
      <c r="K161" s="62"/>
    </row>
    <row r="162" ht="15.75" customHeight="1">
      <c r="K162" s="62"/>
    </row>
    <row r="163" ht="15.75" customHeight="1">
      <c r="K163" s="62"/>
    </row>
    <row r="164" ht="15.75" customHeight="1">
      <c r="K164" s="62"/>
    </row>
    <row r="165" ht="15.75" customHeight="1">
      <c r="K165" s="62"/>
    </row>
    <row r="166" ht="15.75" customHeight="1">
      <c r="K166" s="62"/>
    </row>
    <row r="167" ht="15.75" customHeight="1">
      <c r="K167" s="62"/>
    </row>
    <row r="168" ht="15.75" customHeight="1">
      <c r="K168" s="62"/>
    </row>
    <row r="169" ht="15.75" customHeight="1">
      <c r="K169" s="62"/>
    </row>
    <row r="170" ht="15.75" customHeight="1">
      <c r="K170" s="62"/>
    </row>
    <row r="171" ht="15.75" customHeight="1">
      <c r="K171" s="62"/>
    </row>
    <row r="172" ht="15.75" customHeight="1">
      <c r="K172" s="62"/>
    </row>
    <row r="173" ht="15.75" customHeight="1">
      <c r="K173" s="62"/>
    </row>
    <row r="174" ht="15.75" customHeight="1">
      <c r="K174" s="62"/>
    </row>
    <row r="175" ht="15.75" customHeight="1">
      <c r="K175" s="62"/>
    </row>
    <row r="176" ht="15.75" customHeight="1">
      <c r="K176" s="62"/>
    </row>
    <row r="177" ht="15.75" customHeight="1">
      <c r="K177" s="62"/>
    </row>
    <row r="178" ht="15.75" customHeight="1">
      <c r="K178" s="62"/>
    </row>
    <row r="179" ht="15.75" customHeight="1">
      <c r="K179" s="62"/>
    </row>
    <row r="180" ht="15.75" customHeight="1">
      <c r="K180" s="62"/>
    </row>
    <row r="181" ht="15.75" customHeight="1">
      <c r="K181" s="62"/>
    </row>
    <row r="182" ht="15.75" customHeight="1">
      <c r="K182" s="62"/>
    </row>
    <row r="183" ht="15.75" customHeight="1">
      <c r="K183" s="62"/>
    </row>
    <row r="184" ht="15.75" customHeight="1">
      <c r="K184" s="62"/>
    </row>
    <row r="185" ht="15.75" customHeight="1">
      <c r="K185" s="62"/>
    </row>
    <row r="186" ht="15.75" customHeight="1">
      <c r="K186" s="62"/>
    </row>
    <row r="187" ht="15.75" customHeight="1">
      <c r="K187" s="62"/>
    </row>
    <row r="188" ht="15.75" customHeight="1">
      <c r="K188" s="62"/>
    </row>
    <row r="189" ht="15.75" customHeight="1">
      <c r="K189" s="62"/>
    </row>
    <row r="190" ht="15.75" customHeight="1">
      <c r="K190" s="62"/>
    </row>
    <row r="191" ht="15.75" customHeight="1">
      <c r="K191" s="62"/>
    </row>
    <row r="192" ht="15.75" customHeight="1">
      <c r="K192" s="62"/>
    </row>
    <row r="193" ht="15.75" customHeight="1">
      <c r="K193" s="62"/>
    </row>
    <row r="194" ht="15.75" customHeight="1">
      <c r="K194" s="62"/>
    </row>
    <row r="195" ht="15.75" customHeight="1">
      <c r="K195" s="62"/>
    </row>
    <row r="196" ht="15.75" customHeight="1">
      <c r="K196" s="62"/>
    </row>
    <row r="197" ht="15.75" customHeight="1">
      <c r="K197" s="62"/>
    </row>
    <row r="198" ht="15.75" customHeight="1">
      <c r="K198" s="62"/>
    </row>
    <row r="199" ht="15.75" customHeight="1">
      <c r="K199" s="62"/>
    </row>
    <row r="200" ht="15.75" customHeight="1">
      <c r="K200" s="62"/>
    </row>
    <row r="201" ht="15.75" customHeight="1">
      <c r="K201" s="62"/>
    </row>
    <row r="202" ht="15.75" customHeight="1">
      <c r="K202" s="62"/>
    </row>
    <row r="203" ht="15.75" customHeight="1">
      <c r="K203" s="62"/>
    </row>
    <row r="204" ht="15.75" customHeight="1">
      <c r="K204" s="62"/>
    </row>
    <row r="205" ht="15.75" customHeight="1">
      <c r="K205" s="62"/>
    </row>
    <row r="206" ht="15.75" customHeight="1">
      <c r="K206" s="62"/>
    </row>
    <row r="207" ht="15.75" customHeight="1">
      <c r="K207" s="62"/>
    </row>
    <row r="208" ht="15.75" customHeight="1">
      <c r="K208" s="62"/>
    </row>
    <row r="209" ht="15.75" customHeight="1">
      <c r="K209" s="62"/>
    </row>
    <row r="210" ht="15.75" customHeight="1">
      <c r="K210" s="62"/>
    </row>
    <row r="211" ht="15.75" customHeight="1">
      <c r="K211" s="62"/>
    </row>
    <row r="212" ht="15.75" customHeight="1">
      <c r="K212" s="62"/>
    </row>
    <row r="213" ht="15.75" customHeight="1">
      <c r="K213" s="62"/>
    </row>
    <row r="214" ht="15.75" customHeight="1">
      <c r="K214" s="62"/>
    </row>
    <row r="215" ht="15.75" customHeight="1">
      <c r="K215" s="62"/>
    </row>
    <row r="216" ht="15.75" customHeight="1">
      <c r="K216" s="62"/>
    </row>
    <row r="217" ht="15.75" customHeight="1">
      <c r="K217" s="62"/>
    </row>
    <row r="218" ht="15.75" customHeight="1">
      <c r="K218" s="62"/>
    </row>
    <row r="219" ht="15.75" customHeight="1">
      <c r="K219" s="62"/>
    </row>
    <row r="220" ht="15.75" customHeight="1">
      <c r="K220" s="62"/>
    </row>
    <row r="221" ht="15.75" customHeight="1">
      <c r="K221" s="62"/>
    </row>
    <row r="222" ht="15.75" customHeight="1">
      <c r="K222" s="62"/>
    </row>
    <row r="223" ht="15.75" customHeight="1">
      <c r="K223" s="62"/>
    </row>
    <row r="224" ht="15.75" customHeight="1">
      <c r="K224" s="62"/>
    </row>
    <row r="225" ht="15.75" customHeight="1">
      <c r="K225" s="62"/>
    </row>
    <row r="226" ht="15.75" customHeight="1">
      <c r="K226" s="62"/>
    </row>
    <row r="227" ht="15.75" customHeight="1">
      <c r="K227" s="62"/>
    </row>
    <row r="228" ht="15.75" customHeight="1">
      <c r="K228" s="62"/>
    </row>
    <row r="229" ht="15.75" customHeight="1">
      <c r="K229" s="62"/>
    </row>
    <row r="230" ht="15.75" customHeight="1">
      <c r="K230" s="62"/>
    </row>
    <row r="231" ht="15.75" customHeight="1">
      <c r="K231" s="62"/>
    </row>
    <row r="232" ht="15.75" customHeight="1">
      <c r="K232" s="62"/>
    </row>
    <row r="233" ht="15.75" customHeight="1">
      <c r="K233" s="62"/>
    </row>
    <row r="234" ht="15.75" customHeight="1">
      <c r="K234" s="62"/>
    </row>
    <row r="235" ht="15.75" customHeight="1">
      <c r="K235" s="62"/>
    </row>
    <row r="236" ht="15.75" customHeight="1">
      <c r="K236" s="62"/>
    </row>
    <row r="237" ht="15.75" customHeight="1">
      <c r="K237" s="62"/>
    </row>
    <row r="238" ht="15.75" customHeight="1">
      <c r="K238" s="62"/>
    </row>
    <row r="239" ht="15.75" customHeight="1">
      <c r="K239" s="62"/>
    </row>
    <row r="240" ht="15.75" customHeight="1">
      <c r="K240" s="62"/>
    </row>
    <row r="241" ht="15.75" customHeight="1">
      <c r="K241" s="62"/>
    </row>
    <row r="242" ht="15.75" customHeight="1">
      <c r="K242" s="62"/>
    </row>
    <row r="243" ht="15.75" customHeight="1">
      <c r="K243" s="62"/>
    </row>
    <row r="244" ht="15.75" customHeight="1">
      <c r="K244" s="62"/>
    </row>
    <row r="245" ht="15.75" customHeight="1">
      <c r="K245" s="62"/>
    </row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O1:P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1.0"/>
    <col customWidth="1" min="2" max="2" width="18.63"/>
    <col customWidth="1" min="8" max="8" width="22.38"/>
  </cols>
  <sheetData>
    <row r="1" ht="15.75" customHeight="1">
      <c r="A1" s="98"/>
      <c r="B1" s="98"/>
    </row>
    <row r="2" ht="15.75" customHeight="1">
      <c r="A2" s="99" t="s">
        <v>42</v>
      </c>
      <c r="B2" s="100" t="s">
        <v>80</v>
      </c>
      <c r="C2" s="100" t="s">
        <v>81</v>
      </c>
      <c r="D2" s="100" t="s">
        <v>82</v>
      </c>
      <c r="E2" s="100" t="s">
        <v>83</v>
      </c>
      <c r="H2" s="15" t="s">
        <v>84</v>
      </c>
      <c r="I2" s="15" t="s">
        <v>85</v>
      </c>
      <c r="J2" s="126"/>
    </row>
    <row r="3" ht="15.75" customHeight="1">
      <c r="A3" s="99" t="s">
        <v>46</v>
      </c>
      <c r="B3" s="127">
        <f>I15</f>
        <v>165029.97</v>
      </c>
      <c r="C3" s="127">
        <f>I16</f>
        <v>149427.63</v>
      </c>
      <c r="D3" s="127">
        <f>I10</f>
        <v>175285.01</v>
      </c>
      <c r="E3" s="127">
        <f>I11</f>
        <v>44559.06</v>
      </c>
      <c r="G3" s="123">
        <v>1.0</v>
      </c>
      <c r="H3" s="128">
        <v>45664.38318287037</v>
      </c>
      <c r="I3" s="123">
        <v>2731.46</v>
      </c>
      <c r="J3" s="129">
        <v>0.015582963996750208</v>
      </c>
    </row>
    <row r="4" ht="15.75" customHeight="1">
      <c r="A4" s="99" t="s">
        <v>47</v>
      </c>
      <c r="B4" s="127">
        <v>0.0</v>
      </c>
      <c r="C4" s="127">
        <f>I4</f>
        <v>3124.51</v>
      </c>
      <c r="D4" s="127">
        <f>I3</f>
        <v>2731.46</v>
      </c>
      <c r="E4" s="127"/>
      <c r="G4" s="123">
        <v>12.0</v>
      </c>
      <c r="H4" s="128">
        <v>45654.383055555554</v>
      </c>
      <c r="I4" s="123">
        <v>3124.51</v>
      </c>
      <c r="J4" s="129">
        <v>0.07012064437625032</v>
      </c>
    </row>
    <row r="5" ht="15.75" customHeight="1">
      <c r="A5" s="130" t="s">
        <v>48</v>
      </c>
      <c r="B5" s="21">
        <f t="shared" ref="B5:D5" si="1">B4/B3</f>
        <v>0</v>
      </c>
      <c r="C5" s="21">
        <f t="shared" si="1"/>
        <v>0.02090985449</v>
      </c>
      <c r="D5" s="21">
        <f t="shared" si="1"/>
        <v>0.015582964</v>
      </c>
      <c r="E5" s="127"/>
      <c r="G5" s="15">
        <v>4.0</v>
      </c>
      <c r="H5" s="131">
        <v>45404.86804398148</v>
      </c>
      <c r="I5" s="15">
        <v>1353.19</v>
      </c>
      <c r="J5" s="126">
        <v>0.04646286308393181</v>
      </c>
    </row>
    <row r="6" ht="15.75" customHeight="1">
      <c r="A6" s="130"/>
      <c r="B6" s="21"/>
      <c r="C6" s="21"/>
      <c r="D6" s="21"/>
      <c r="E6" s="127"/>
      <c r="G6" s="15">
        <v>1.0</v>
      </c>
      <c r="H6" s="131">
        <v>45296.21880787037</v>
      </c>
      <c r="I6" s="15">
        <v>1344.54</v>
      </c>
      <c r="J6" s="126">
        <v>0.020052700717908576</v>
      </c>
    </row>
    <row r="7" ht="15.75" customHeight="1">
      <c r="A7" s="64"/>
      <c r="B7" s="64"/>
      <c r="G7" s="15">
        <v>2.0</v>
      </c>
      <c r="H7" s="131">
        <v>44960.854467592595</v>
      </c>
      <c r="I7" s="15">
        <v>2869.12</v>
      </c>
      <c r="J7" s="126">
        <v>0.032037447295076106</v>
      </c>
    </row>
    <row r="8" ht="15.75" customHeight="1">
      <c r="A8" s="64"/>
      <c r="B8" s="64"/>
      <c r="G8" s="15">
        <v>12.0</v>
      </c>
      <c r="H8" s="131">
        <v>44909.01466435185</v>
      </c>
      <c r="I8" s="15">
        <v>32.82</v>
      </c>
      <c r="J8" s="126">
        <v>1.9887296834629484E-4</v>
      </c>
    </row>
    <row r="9" ht="15.75" customHeight="1">
      <c r="A9" s="99" t="s">
        <v>42</v>
      </c>
      <c r="B9" s="100" t="s">
        <v>86</v>
      </c>
    </row>
    <row r="10" ht="15.75" customHeight="1">
      <c r="A10" s="99" t="s">
        <v>52</v>
      </c>
      <c r="B10" s="100">
        <v>1281.0</v>
      </c>
      <c r="H10" s="132">
        <v>1.0</v>
      </c>
      <c r="I10" s="133">
        <v>175285.00999999998</v>
      </c>
    </row>
    <row r="11" ht="15.75" customHeight="1">
      <c r="A11" s="99" t="s">
        <v>53</v>
      </c>
      <c r="B11" s="100">
        <v>6.0</v>
      </c>
      <c r="H11" s="15">
        <v>2.0</v>
      </c>
      <c r="I11" s="73">
        <v>44559.06</v>
      </c>
    </row>
    <row r="12" ht="15.75" customHeight="1">
      <c r="A12" s="130" t="s">
        <v>54</v>
      </c>
      <c r="B12" s="21">
        <f>B11/B10</f>
        <v>0.004683840749</v>
      </c>
      <c r="H12" s="15">
        <v>8.0</v>
      </c>
      <c r="I12" s="73">
        <v>29124.12</v>
      </c>
    </row>
    <row r="13" ht="15.75" customHeight="1">
      <c r="H13" s="15">
        <v>9.0</v>
      </c>
      <c r="I13" s="73">
        <v>67050.32</v>
      </c>
    </row>
    <row r="14" ht="15.75" customHeight="1">
      <c r="H14" s="15">
        <v>10.0</v>
      </c>
      <c r="I14" s="73">
        <v>89555.20000000001</v>
      </c>
    </row>
    <row r="15" ht="15.75" customHeight="1">
      <c r="H15" s="15">
        <v>11.0</v>
      </c>
      <c r="I15" s="73">
        <v>165029.97000000006</v>
      </c>
    </row>
    <row r="16" ht="15.75" customHeight="1">
      <c r="H16" s="15">
        <v>12.0</v>
      </c>
      <c r="I16" s="73">
        <v>149427.62999999995</v>
      </c>
    </row>
    <row r="17" ht="15.75" customHeight="1"/>
    <row r="18" ht="15.75" customHeight="1">
      <c r="A18" s="134" t="s">
        <v>87</v>
      </c>
      <c r="B18" s="134" t="s">
        <v>84</v>
      </c>
      <c r="C18" s="134" t="s">
        <v>85</v>
      </c>
      <c r="D18" s="134" t="s">
        <v>88</v>
      </c>
      <c r="E18" s="134" t="s">
        <v>89</v>
      </c>
      <c r="F18" s="134" t="s">
        <v>90</v>
      </c>
      <c r="G18" s="134" t="s">
        <v>91</v>
      </c>
      <c r="H18" s="134" t="s">
        <v>92</v>
      </c>
      <c r="I18" s="134" t="s">
        <v>93</v>
      </c>
      <c r="J18" s="134" t="s">
        <v>94</v>
      </c>
      <c r="K18" s="134" t="s">
        <v>95</v>
      </c>
      <c r="L18" s="134" t="s">
        <v>96</v>
      </c>
      <c r="M18" s="134" t="s">
        <v>97</v>
      </c>
      <c r="N18" s="134" t="s">
        <v>98</v>
      </c>
      <c r="O18" s="134" t="s">
        <v>99</v>
      </c>
      <c r="P18" s="134" t="s">
        <v>100</v>
      </c>
      <c r="Q18" s="134" t="s">
        <v>101</v>
      </c>
      <c r="R18" s="134" t="s">
        <v>102</v>
      </c>
      <c r="S18" s="134" t="s">
        <v>103</v>
      </c>
      <c r="T18" s="134" t="s">
        <v>104</v>
      </c>
      <c r="U18" s="134" t="s">
        <v>105</v>
      </c>
      <c r="V18" s="134" t="s">
        <v>106</v>
      </c>
      <c r="W18" s="134" t="s">
        <v>107</v>
      </c>
      <c r="X18" s="134" t="s">
        <v>108</v>
      </c>
      <c r="Y18" s="134" t="s">
        <v>109</v>
      </c>
      <c r="Z18" s="134" t="s">
        <v>110</v>
      </c>
      <c r="AA18" s="134" t="s">
        <v>111</v>
      </c>
      <c r="AB18" s="134" t="s">
        <v>112</v>
      </c>
      <c r="AC18" s="134" t="s">
        <v>113</v>
      </c>
      <c r="AD18" s="134" t="s">
        <v>114</v>
      </c>
      <c r="AE18" s="134" t="s">
        <v>115</v>
      </c>
    </row>
    <row r="19" ht="15.75" customHeight="1">
      <c r="A19" s="135" t="s">
        <v>116</v>
      </c>
      <c r="B19" s="136">
        <v>45664.38318287037</v>
      </c>
      <c r="C19" s="137">
        <v>2731.46</v>
      </c>
      <c r="D19" s="137">
        <v>0.0</v>
      </c>
      <c r="E19" s="137" t="s">
        <v>117</v>
      </c>
      <c r="F19" s="137" t="b">
        <v>1</v>
      </c>
      <c r="G19" s="137">
        <v>2731.46</v>
      </c>
      <c r="H19" s="137">
        <v>0.0</v>
      </c>
      <c r="I19" s="137" t="s">
        <v>117</v>
      </c>
      <c r="J19" s="138"/>
      <c r="K19" s="137" t="s">
        <v>118</v>
      </c>
      <c r="L19" s="137">
        <v>102.7</v>
      </c>
      <c r="M19" s="138"/>
      <c r="N19" s="137" t="s">
        <v>119</v>
      </c>
      <c r="O19" s="137" t="s">
        <v>120</v>
      </c>
      <c r="P19" s="137" t="s">
        <v>121</v>
      </c>
      <c r="Q19" s="137">
        <v>0.0</v>
      </c>
      <c r="R19" s="137" t="s">
        <v>122</v>
      </c>
      <c r="S19" s="137" t="s">
        <v>123</v>
      </c>
      <c r="T19" s="138"/>
      <c r="U19" s="139" t="s">
        <v>124</v>
      </c>
      <c r="V19" s="138"/>
      <c r="W19" s="137" t="s">
        <v>125</v>
      </c>
      <c r="X19" s="137" t="s">
        <v>74</v>
      </c>
      <c r="Y19" s="137" t="s">
        <v>118</v>
      </c>
      <c r="Z19" s="137" t="s">
        <v>126</v>
      </c>
      <c r="AA19" s="137" t="s">
        <v>127</v>
      </c>
      <c r="AB19" s="137" t="s">
        <v>128</v>
      </c>
      <c r="AC19" s="137" t="s">
        <v>129</v>
      </c>
      <c r="AD19" s="137" t="s">
        <v>130</v>
      </c>
      <c r="AE19" s="137" t="s">
        <v>131</v>
      </c>
    </row>
    <row r="20" ht="15.75" customHeight="1">
      <c r="A20" s="135" t="s">
        <v>132</v>
      </c>
      <c r="B20" s="136">
        <v>45654.383055555554</v>
      </c>
      <c r="C20" s="137">
        <v>3124.51</v>
      </c>
      <c r="D20" s="137">
        <v>0.0</v>
      </c>
      <c r="E20" s="137" t="s">
        <v>117</v>
      </c>
      <c r="F20" s="137" t="b">
        <v>1</v>
      </c>
      <c r="G20" s="137">
        <v>3124.51</v>
      </c>
      <c r="H20" s="137">
        <v>0.0</v>
      </c>
      <c r="I20" s="137" t="s">
        <v>117</v>
      </c>
      <c r="J20" s="138"/>
      <c r="K20" s="137" t="s">
        <v>133</v>
      </c>
      <c r="L20" s="137">
        <v>115.28</v>
      </c>
      <c r="M20" s="138"/>
      <c r="N20" s="137" t="s">
        <v>119</v>
      </c>
      <c r="O20" s="137" t="s">
        <v>120</v>
      </c>
      <c r="P20" s="137" t="s">
        <v>121</v>
      </c>
      <c r="Q20" s="137">
        <v>0.0</v>
      </c>
      <c r="R20" s="137" t="s">
        <v>134</v>
      </c>
      <c r="S20" s="137" t="s">
        <v>135</v>
      </c>
      <c r="T20" s="138"/>
      <c r="U20" s="139" t="s">
        <v>136</v>
      </c>
      <c r="V20" s="138"/>
      <c r="W20" s="137" t="s">
        <v>137</v>
      </c>
      <c r="X20" s="137" t="s">
        <v>74</v>
      </c>
      <c r="Y20" s="137" t="s">
        <v>133</v>
      </c>
      <c r="Z20" s="137" t="s">
        <v>138</v>
      </c>
      <c r="AA20" s="137" t="s">
        <v>139</v>
      </c>
      <c r="AB20" s="137" t="s">
        <v>128</v>
      </c>
      <c r="AC20" s="137" t="s">
        <v>140</v>
      </c>
      <c r="AD20" s="137" t="s">
        <v>141</v>
      </c>
      <c r="AE20" s="137" t="s">
        <v>142</v>
      </c>
    </row>
    <row r="21" ht="15.75" customHeight="1">
      <c r="A21" s="135" t="s">
        <v>143</v>
      </c>
      <c r="B21" s="140">
        <v>45404.86804398148</v>
      </c>
      <c r="C21" s="137">
        <v>1353.19</v>
      </c>
      <c r="D21" s="137">
        <v>0.0</v>
      </c>
      <c r="E21" s="137" t="s">
        <v>117</v>
      </c>
      <c r="F21" s="137" t="b">
        <v>1</v>
      </c>
      <c r="G21" s="137">
        <v>1353.19</v>
      </c>
      <c r="H21" s="137">
        <v>0.0</v>
      </c>
      <c r="I21" s="137" t="s">
        <v>117</v>
      </c>
      <c r="J21" s="138"/>
      <c r="K21" s="137" t="s">
        <v>144</v>
      </c>
      <c r="L21" s="137">
        <v>61.31</v>
      </c>
      <c r="M21" s="138"/>
      <c r="N21" s="137" t="s">
        <v>145</v>
      </c>
      <c r="O21" s="137" t="s">
        <v>120</v>
      </c>
      <c r="P21" s="137" t="s">
        <v>121</v>
      </c>
      <c r="Q21" s="137">
        <v>0.0</v>
      </c>
      <c r="R21" s="137" t="s">
        <v>146</v>
      </c>
      <c r="S21" s="138"/>
      <c r="T21" s="138"/>
      <c r="U21" s="138"/>
      <c r="V21" s="138"/>
      <c r="W21" s="137" t="s">
        <v>147</v>
      </c>
      <c r="X21" s="138"/>
      <c r="Y21" s="138"/>
      <c r="Z21" s="138"/>
      <c r="AA21" s="138"/>
      <c r="AB21" s="138"/>
      <c r="AC21" s="138"/>
      <c r="AD21" s="138"/>
      <c r="AE21" s="138"/>
    </row>
    <row r="22" ht="15.75" customHeight="1">
      <c r="A22" s="135" t="s">
        <v>148</v>
      </c>
      <c r="B22" s="136">
        <v>45296.21880787037</v>
      </c>
      <c r="C22" s="137">
        <v>1344.54</v>
      </c>
      <c r="D22" s="137">
        <v>0.0</v>
      </c>
      <c r="E22" s="137" t="s">
        <v>117</v>
      </c>
      <c r="F22" s="137" t="b">
        <v>1</v>
      </c>
      <c r="G22" s="137">
        <v>1344.54</v>
      </c>
      <c r="H22" s="137">
        <v>0.0</v>
      </c>
      <c r="I22" s="137" t="s">
        <v>117</v>
      </c>
      <c r="J22" s="138"/>
      <c r="K22" s="137" t="s">
        <v>149</v>
      </c>
      <c r="L22" s="137">
        <v>58.32</v>
      </c>
      <c r="M22" s="138"/>
      <c r="N22" s="137" t="s">
        <v>119</v>
      </c>
      <c r="O22" s="137" t="s">
        <v>120</v>
      </c>
      <c r="P22" s="137" t="s">
        <v>121</v>
      </c>
      <c r="Q22" s="137">
        <v>0.0</v>
      </c>
      <c r="R22" s="137" t="s">
        <v>150</v>
      </c>
      <c r="S22" s="137" t="s">
        <v>151</v>
      </c>
      <c r="T22" s="138"/>
      <c r="U22" s="139" t="s">
        <v>152</v>
      </c>
      <c r="V22" s="138"/>
      <c r="W22" s="137" t="s">
        <v>153</v>
      </c>
      <c r="X22" s="137" t="s">
        <v>74</v>
      </c>
      <c r="Y22" s="137" t="s">
        <v>149</v>
      </c>
      <c r="Z22" s="137" t="s">
        <v>154</v>
      </c>
      <c r="AA22" s="139" t="s">
        <v>155</v>
      </c>
      <c r="AB22" s="137" t="s">
        <v>156</v>
      </c>
      <c r="AC22" s="137" t="s">
        <v>157</v>
      </c>
      <c r="AD22" s="137" t="s">
        <v>158</v>
      </c>
      <c r="AE22" s="137" t="s">
        <v>159</v>
      </c>
    </row>
    <row r="23" ht="15.75" customHeight="1">
      <c r="A23" s="135" t="s">
        <v>160</v>
      </c>
      <c r="B23" s="136">
        <v>44960.854467592595</v>
      </c>
      <c r="C23" s="137">
        <v>2869.12</v>
      </c>
      <c r="D23" s="137">
        <v>0.0</v>
      </c>
      <c r="E23" s="137" t="s">
        <v>117</v>
      </c>
      <c r="F23" s="137" t="b">
        <v>1</v>
      </c>
      <c r="G23" s="137">
        <v>2869.12</v>
      </c>
      <c r="H23" s="137">
        <v>0.0</v>
      </c>
      <c r="I23" s="137" t="s">
        <v>117</v>
      </c>
      <c r="J23" s="138"/>
      <c r="K23" s="137" t="s">
        <v>161</v>
      </c>
      <c r="L23" s="137">
        <v>107.11</v>
      </c>
      <c r="M23" s="138"/>
      <c r="N23" s="137" t="s">
        <v>119</v>
      </c>
      <c r="O23" s="137" t="s">
        <v>120</v>
      </c>
      <c r="P23" s="137" t="s">
        <v>121</v>
      </c>
      <c r="Q23" s="137">
        <v>0.0</v>
      </c>
      <c r="R23" s="137" t="s">
        <v>162</v>
      </c>
      <c r="S23" s="137" t="s">
        <v>163</v>
      </c>
      <c r="T23" s="137" t="s">
        <v>161</v>
      </c>
      <c r="U23" s="139" t="s">
        <v>164</v>
      </c>
      <c r="V23" s="138"/>
      <c r="W23" s="137" t="s">
        <v>165</v>
      </c>
      <c r="X23" s="137" t="s">
        <v>74</v>
      </c>
      <c r="Y23" s="137" t="s">
        <v>161</v>
      </c>
      <c r="Z23" s="137" t="s">
        <v>166</v>
      </c>
      <c r="AA23" s="139" t="s">
        <v>167</v>
      </c>
      <c r="AB23" s="137" t="s">
        <v>168</v>
      </c>
      <c r="AC23" s="137" t="s">
        <v>169</v>
      </c>
      <c r="AD23" s="138"/>
      <c r="AE23" s="138"/>
    </row>
    <row r="24" ht="15.75" customHeight="1">
      <c r="A24" s="135" t="s">
        <v>170</v>
      </c>
      <c r="B24" s="136">
        <v>44909.01466435185</v>
      </c>
      <c r="C24" s="137">
        <v>32.82</v>
      </c>
      <c r="D24" s="137">
        <v>0.0</v>
      </c>
      <c r="E24" s="137" t="s">
        <v>117</v>
      </c>
      <c r="F24" s="137" t="b">
        <v>1</v>
      </c>
      <c r="G24" s="137">
        <v>32.82</v>
      </c>
      <c r="H24" s="137">
        <v>0.0</v>
      </c>
      <c r="I24" s="137" t="s">
        <v>117</v>
      </c>
      <c r="J24" s="138"/>
      <c r="K24" s="137" t="s">
        <v>171</v>
      </c>
      <c r="L24" s="137">
        <v>16.35</v>
      </c>
      <c r="M24" s="138"/>
      <c r="N24" s="137" t="s">
        <v>119</v>
      </c>
      <c r="O24" s="137" t="s">
        <v>120</v>
      </c>
      <c r="P24" s="137" t="s">
        <v>121</v>
      </c>
      <c r="Q24" s="137">
        <v>0.0</v>
      </c>
      <c r="R24" s="137" t="s">
        <v>172</v>
      </c>
      <c r="S24" s="137" t="s">
        <v>173</v>
      </c>
      <c r="T24" s="137" t="s">
        <v>171</v>
      </c>
      <c r="U24" s="139" t="s">
        <v>174</v>
      </c>
      <c r="V24" s="138"/>
      <c r="W24" s="137" t="s">
        <v>175</v>
      </c>
      <c r="X24" s="137" t="s">
        <v>74</v>
      </c>
      <c r="Y24" s="137" t="s">
        <v>171</v>
      </c>
      <c r="Z24" s="137" t="s">
        <v>176</v>
      </c>
      <c r="AA24" s="139" t="s">
        <v>177</v>
      </c>
      <c r="AB24" s="137" t="s">
        <v>178</v>
      </c>
      <c r="AC24" s="137" t="s">
        <v>179</v>
      </c>
      <c r="AD24" s="138"/>
      <c r="AE24" s="138"/>
    </row>
    <row r="25" ht="15.75" customHeight="1">
      <c r="C25" s="73">
        <f>SUM(C19:C24)</f>
        <v>11455.64</v>
      </c>
    </row>
    <row r="26" ht="15.75" customHeight="1"/>
    <row r="27" ht="15.75" customHeight="1"/>
    <row r="28" ht="15.75" customHeight="1"/>
    <row r="29" ht="15.75" customHeight="1"/>
    <row r="30" ht="15.75" customHeight="1">
      <c r="B30" s="134" t="s">
        <v>84</v>
      </c>
      <c r="C30" s="134" t="s">
        <v>85</v>
      </c>
    </row>
    <row r="31" ht="15.75" customHeight="1">
      <c r="A31" s="15">
        <f t="shared" ref="A31:A36" si="2">MONTH(B31)</f>
        <v>1</v>
      </c>
      <c r="B31" s="136">
        <v>45664.38318287037</v>
      </c>
      <c r="C31" s="137">
        <v>2731.46</v>
      </c>
    </row>
    <row r="32" ht="15.75" customHeight="1">
      <c r="A32" s="15">
        <f t="shared" si="2"/>
        <v>12</v>
      </c>
      <c r="B32" s="136">
        <v>45654.383055555554</v>
      </c>
      <c r="C32" s="137">
        <v>3124.51</v>
      </c>
    </row>
    <row r="33" ht="15.75" customHeight="1">
      <c r="A33" s="15">
        <f t="shared" si="2"/>
        <v>4</v>
      </c>
      <c r="B33" s="140">
        <v>45404.86804398148</v>
      </c>
      <c r="C33" s="137">
        <v>1353.19</v>
      </c>
    </row>
    <row r="34" ht="15.75" customHeight="1">
      <c r="A34" s="15">
        <f t="shared" si="2"/>
        <v>1</v>
      </c>
      <c r="B34" s="136">
        <v>45296.21880787037</v>
      </c>
      <c r="C34" s="137">
        <v>1344.54</v>
      </c>
      <c r="F34" s="15" t="s">
        <v>180</v>
      </c>
    </row>
    <row r="35" ht="15.75" customHeight="1">
      <c r="A35" s="15">
        <f t="shared" si="2"/>
        <v>2</v>
      </c>
      <c r="B35" s="136">
        <v>44960.854467592595</v>
      </c>
      <c r="C35" s="137">
        <v>2869.12</v>
      </c>
      <c r="F35" s="15" t="s">
        <v>181</v>
      </c>
    </row>
    <row r="36" ht="15.75" customHeight="1">
      <c r="A36" s="15">
        <f t="shared" si="2"/>
        <v>12</v>
      </c>
      <c r="B36" s="136">
        <v>44909.01466435185</v>
      </c>
      <c r="C36" s="137">
        <v>32.82</v>
      </c>
      <c r="F36" s="15" t="s">
        <v>182</v>
      </c>
    </row>
    <row r="37" ht="15.75" customHeight="1">
      <c r="F37" s="15" t="s">
        <v>183</v>
      </c>
    </row>
    <row r="38" ht="15.75" customHeight="1">
      <c r="F38" s="15" t="s">
        <v>184</v>
      </c>
    </row>
    <row r="39" ht="15.75" customHeight="1">
      <c r="F39" s="15" t="s">
        <v>185</v>
      </c>
    </row>
    <row r="40" ht="15.75" customHeight="1">
      <c r="F40" s="15" t="s">
        <v>186</v>
      </c>
    </row>
    <row r="41" ht="15.75" customHeight="1">
      <c r="F41" s="15" t="s">
        <v>187</v>
      </c>
    </row>
    <row r="42" ht="15.75" customHeight="1">
      <c r="F42" s="15" t="s">
        <v>188</v>
      </c>
    </row>
    <row r="43" ht="15.75" customHeight="1">
      <c r="F43" s="15" t="s">
        <v>189</v>
      </c>
    </row>
    <row r="44" ht="15.75" customHeight="1">
      <c r="F44" s="15" t="s">
        <v>190</v>
      </c>
    </row>
    <row r="45" ht="15.75" customHeight="1">
      <c r="F45" s="15" t="s">
        <v>191</v>
      </c>
    </row>
    <row r="46" ht="15.75" customHeight="1">
      <c r="F46" s="15" t="s">
        <v>180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U19"/>
    <hyperlink r:id="rId2" ref="U20"/>
    <hyperlink r:id="rId3" ref="U22"/>
    <hyperlink r:id="rId4" ref="AA22"/>
    <hyperlink r:id="rId5" ref="U23"/>
    <hyperlink r:id="rId6" ref="AA23"/>
    <hyperlink r:id="rId7" ref="U24"/>
    <hyperlink r:id="rId8" ref="AA24"/>
  </hyperlinks>
  <printOptions/>
  <pageMargins bottom="0.75" footer="0.0" header="0.0" left="0.7" right="0.7" top="0.75"/>
  <pageSetup orientation="landscape"/>
  <drawing r:id="rId9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